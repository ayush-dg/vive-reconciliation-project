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ellu\Desktop\vive-reconciliation-project\"/>
    </mc:Choice>
  </mc:AlternateContent>
  <xr:revisionPtr revIDLastSave="0" documentId="13_ncr:1_{504B5CAD-11FF-4400-BD6B-FD3042383788}" xr6:coauthVersionLast="47" xr6:coauthVersionMax="47" xr10:uidLastSave="{00000000-0000-0000-0000-000000000000}"/>
  <bookViews>
    <workbookView xWindow="-110" yWindow="-110" windowWidth="19420" windowHeight="10300" xr2:uid="{00000000-000D-0000-FFFF-FFFF00000000}"/>
  </bookViews>
  <sheets>
    <sheet name="At a Glance" sheetId="1" r:id="rId1"/>
    <sheet name="Full Detail (Reference)" sheetId="2" r:id="rId2"/>
    <sheet name="Flagged - Low Priority" sheetId="3" r:id="rId3"/>
    <sheet name="Supporting Rules - Guardrails" sheetId="4" r:id="rId4"/>
    <sheet name="Vendor Statement Code Map" sheetId="5" r:id="rId5"/>
    <sheet name="Scenario Cross-Reference" sheetId="6" r:id="rId6"/>
  </sheets>
  <definedNames>
    <definedName name="_xlnm._FilterDatabase" localSheetId="1" hidden="1">'Full Detail (Reference)'!$A$4:$I$8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1" l="1"/>
</calcChain>
</file>

<file path=xl/sharedStrings.xml><?xml version="1.0" encoding="utf-8"?>
<sst xmlns="http://schemas.openxmlformats.org/spreadsheetml/2006/main" count="167" uniqueCount="155">
  <si>
    <t>Reconciliation Decision Flow -- At a Glance</t>
  </si>
  <si>
    <t>Read top to bottom. First question that answers YES wins. Full detail + rationale: "Full Detail (Reference)" sheet and the companion MD file.</t>
  </si>
  <si>
    <t>1</t>
  </si>
  <si>
    <t>Does the invoice tie to ONE NetSuite Bill/Credit by exact amount?
(single line, or a duplicate charge+credit pair for the same figure)</t>
  </si>
  <si>
    <t>YES -&gt; RECONCILED</t>
  </si>
  <si>
    <t>NO -&gt; Go to Step 2</t>
  </si>
  <si>
    <t>2</t>
  </si>
  <si>
    <t>NO -&gt; Go to Step 3</t>
  </si>
  <si>
    <t>3</t>
  </si>
  <si>
    <t>Missing from NetSuite entirely -- but statement Charges = Credits?</t>
  </si>
  <si>
    <t>NO -&gt; Go to Step 4</t>
  </si>
  <si>
    <t>4</t>
  </si>
  <si>
    <t>Is it "almost" reconciled -- amount slightly off, or a credit not found -- rather than a clean miss?</t>
  </si>
  <si>
    <t>+</t>
  </si>
  <si>
    <t>Whenever the statement shows its own "Amount Due" column: cross-check Charges - Credits - Amount Due = 0. Confirms or contradicts whichever step above already answered YES -- it never decides the verdict by itself.</t>
  </si>
  <si>
    <t>VIVE Statement Reconciliation — Reconciliation Rules (v2)</t>
  </si>
  <si>
    <t>Supersedes the v1 rule set. Rules run in order 1-4 per invoice number; the first rule that applies wins. See the companion MD file for full rationale and decision history.</t>
  </si>
  <si>
    <t>Rule #</t>
  </si>
  <si>
    <t>Rule Name</t>
  </si>
  <si>
    <t>Trigger / Detection Condition</t>
  </si>
  <si>
    <t>Fabric Data Required</t>
  </si>
  <si>
    <t>Reconciliation Logic</t>
  </si>
  <si>
    <t>Resulting Category</t>
  </si>
  <si>
    <t>Exception Surfaced?</t>
  </si>
  <si>
    <t>Example Invoice(s)</t>
  </si>
  <si>
    <t>Notes / Caveats</t>
  </si>
  <si>
    <t>Direct Match (single or duplicate line)</t>
  </si>
  <si>
    <t>Invoice number resolves to exactly one NetSuite Vendor Bill or Vendor Credit record, under any of the vendor's mapped entity IDs. The statement may show it as ONE line, or as a duplicate pair (a charge line and a credit line for the same invoice number, both for the identical amount).</t>
  </si>
  <si>
    <t>silver.netsuite_invoice / netsuite_credit (bills and credits, including closed/paid history, not just open items) across all of the vendor's mapped NetSuite entity IDs.</t>
  </si>
  <si>
    <t>Single-line case: statement amount = NetSuite record total -&gt; reconciled. Duplicate-pair case: charge amount = credit amount = NetSuite record total (all three equal) -&gt; both lines reconciled together as one event, not two independent resolutions.</t>
  </si>
  <si>
    <t>RECONCILED (MATCHED)</t>
  </si>
  <si>
    <t>No</t>
  </si>
  <si>
    <t>9314571X1 (single, 523.08); 9386727 (duplicate pair, 303.37 = 303.37 = NetSuite total)</t>
  </si>
  <si>
    <t>This is an existence + face-amount check only -- it does not identify which specific payment settled the bill (see Rule 7 below). No confidence-based gating: a low-extraction-confidence line still gets checked against NetSuite the same way.</t>
  </si>
  <si>
    <t>Credit Memo Present, Statement Self-Consistent, NetSuite Confirms Paid</t>
  </si>
  <si>
    <t>The invoice group includes a credit memo (a real, separately-identified credit transaction, not just a charge/credit column split of the same line). The statement's own charges total for this invoice number equals its own credits total (LHS = RHS). AND NetSuite independently confirms the underlying bill/credit is closed (Paid In Full / Fully Applied).</t>
  </si>
  <si>
    <t>silver.netsuite_invoice / netsuite_credit, including the payment/applied-status field (the human-readable status, e.g. BUILTIN.DF(status) in SuiteQL -- NOT the raw workflow code).</t>
  </si>
  <si>
    <t>Two independent signals agree: the statement's own math nets to zero, AND NetSuite's own status says this is closed. Reconciled on the strength of both agreeing -- neither signal alone is required to carry the full weight.</t>
  </si>
  <si>
    <t>Cases where a bill has multiple charge/credit restatement lines that net out AND the bill is confirmed Paid In Full in NetSuite.</t>
  </si>
  <si>
    <t>If EITHER signal is missing -- amount does not actually net to zero, OR the NetSuite status check cannot confirm closure -- do NOT apply this rule. Falls through to the flagged, low-priority categories instead (see "Flagged - Low Priority" sheet). This is the deliberate, discussed line: Paid In Full status alone, without the statement math agreeing, is NOT sufficient here.</t>
  </si>
  <si>
    <t>Not Found in NetSuite, But Statement Self-Cancels</t>
  </si>
  <si>
    <t>No NetSuite Vendor Bill or Vendor Credit record exists under ANY of the vendor's mapped entity IDs for this invoice number. The statement's own charges total equals its own credits total for this invoice number (LHS = RHS) -- the statement itself shows it fully offset.</t>
  </si>
  <si>
    <t>silver.netsuite_invoice / netsuite_credit (to establish absence) + silver.statement_line (to compute the statement-only LHS/RHS check).</t>
  </si>
  <si>
    <t>No NetSuite confirmation is possible (the record isn't there to check), but the vendor's own statement already proves this invoice was charged and then fully offset -- accepted as sufficient proof of settlement on its own.</t>
  </si>
  <si>
    <t>RECONCILED (MATCHED) -- but LOGGED, not silently dropped</t>
  </si>
  <si>
    <t>No (not a blocking exception) -- but still written to the log/exception table with an informational flag so a human can see "self-cancelled, NetSuite was never confirmed" rather than this invoice disappearing entirely.</t>
  </si>
  <si>
    <t>8944468 / CM8944468-style cases, IF their charge and credit amounts had netted to zero (they did not, in the actual Fred Beans data -- so that specific example stayed NOT_POSTED; this rule covers the case where they would have).</t>
  </si>
  <si>
    <t>This is the weakest of the three reconciled rules -- there is no NetSuite corroboration at all. Keeping it logged (not silent) preserves an audit trail in case this pattern needs revisiting later.</t>
  </si>
  <si>
    <t>Amount Due Cross-Check</t>
  </si>
  <si>
    <t>The statement provides its own explicit "Amount Due" (or outstanding balance) figure for the line/invoice, separate from the Charge and Credit columns.</t>
  </si>
  <si>
    <t>silver.statement_line's outstanding_amount / amount_due field, when the AI extraction captured one for this vendor's statement format.</t>
  </si>
  <si>
    <t>Independently validate: Charges - Credits - Amount Due = 0 (respecting the sign of Amount Due). This is a cross-check layered on top of Rules 1-3, not a replacement for them -- it either corroborates a reconciled verdict or surfaces a contradiction worth a human look (e.g. Rule 1-3 said reconciled, but the statement's own Amount Due column disagrees).</t>
  </si>
  <si>
    <t>Validation layer -- confirms or contradicts Rules 1-3's verdict; does not independently produce RECONCILED on its own.</t>
  </si>
  <si>
    <t>Only if it CONTRADICTS an earlier rule's verdict.</t>
  </si>
  <si>
    <t>Depends on whether this vendor's statement format includes an Amount Due column (Fred Beans' extraction captured an outstanding_amount field on some rows).</t>
  </si>
  <si>
    <t>Not every vendor statement carries this column -- when absent, this rule simply does not apply (not a missing-data error).</t>
  </si>
  <si>
    <t>Flagged, Low-Priority Categories (NOT auto-reconciled)</t>
  </si>
  <si>
    <t>Decision (2026-08-21): when Rule 2 or Rule 3's conditions are ALMOST met but not fully, do not extend Paid-In-Full status to auto-reconcile -- keep visible but low-priority instead. Rationale below each row.</t>
  </si>
  <si>
    <t>Category</t>
  </si>
  <si>
    <t>Trigger</t>
  </si>
  <si>
    <t>Why NOT auto-reconciled</t>
  </si>
  <si>
    <t>Priority</t>
  </si>
  <si>
    <t>Example</t>
  </si>
  <si>
    <t>CREDIT_AMOUNT_MISMATCH_LOW_PRIORITY</t>
  </si>
  <si>
    <t>A credit memo (or its related bill) is found in NetSuite, the statement's own LHS/RHS is close to net-zero or NetSuite shows the related bill Paid In Full, but the credit's own amount does NOT match NetSuite's figure for it.</t>
  </si>
  <si>
    <t>Every credit memo we traced in the Fred Beans investigation whose name/RO looked related to a specific invoice actually settled a DIFFERENT bill (100% of cases tested). An amount mismatch plus a nearby "Paid In Full" status is not proof this specific line is accounted for -- it may just mean the status belongs to an unrelated transaction. Auto-reconciling here risks silently masking a real discrepancy, the same failure mode the build's own extraction-validation gate (G2) exists to prevent on the extraction side.</t>
  </si>
  <si>
    <t>Low (visible, not urgent)</t>
  </si>
  <si>
    <t>CM9189267 (statement 41.74 vs NetSuite total 50.00, status Fully Applied)</t>
  </si>
  <si>
    <t>CREDIT_NOT_FOUND_LOW_PRIORITY</t>
  </si>
  <si>
    <t>No credit memo record exists in NetSuite for this line at all, even though the statement's own LHS/RHS looks self-cancelling.</t>
  </si>
  <si>
    <t>Same reasoning as above -- "looks" self-cancelling on the statement is not the same as a NetSuite-confirmed reconciliation when there is no record to check against at all. Kept distinct from the harder NOT_POSTED category (Rule 3's companion "hard" case) because the statement math at least suggests this one resolved itself, even without proof.</t>
  </si>
  <si>
    <t>(Hypothetical -- a CM-named line with no matching NetSuite record, statement math suggesting self-cancellation)</t>
  </si>
  <si>
    <t>Supporting Rules &amp; Guardrails (apply within Rules 1-4, not standalone verdicts)</t>
  </si>
  <si>
    <t>ID</t>
  </si>
  <si>
    <t>Name</t>
  </si>
  <si>
    <t>What it governs</t>
  </si>
  <si>
    <t>Why it matters</t>
  </si>
  <si>
    <t>S1</t>
  </si>
  <si>
    <t>Vendor Statement Code Map (parsing)</t>
  </si>
  <si>
    <t>Before Rules 1-4 run, classify each statement line (Invoice vs Payment) using a per-vendor numeric prefix code map (e.g. Fred Beans: 35 = invoice, 57 = payment). See "Vendor Statement Code Map" sheet.</t>
  </si>
  <si>
    <t>Confirmed vendor/program-specific in the 8/20/2026 meeting -- do not assume one universal prefix scheme across vendors.</t>
  </si>
  <si>
    <t>S2</t>
  </si>
  <si>
    <t>Multi-Entity Vendor Matching</t>
  </si>
  <si>
    <t>Every lookup in Rules 1-4 must check ALL of a vendor's mapped NetSuite entity IDs, not just the one named on the statement (Fred Beans alone maps to 7 distinct entity IDs).</t>
  </si>
  <si>
    <t>Real matches were missed when only checking the statement's named entity ID. A vendor-entity map does not yet exist in the current data model -- needs to be added.</t>
  </si>
  <si>
    <t>S3</t>
  </si>
  <si>
    <t>Credit-Memo Name/RO Similarity Is Not Proof of Settlement</t>
  </si>
  <si>
    <t>Never use invoice-name or RO-number similarity between a bill and a credit as proof the credit settled that bill. Only NetSuite's own application data (the /apply relationship) can confirm that.</t>
  </si>
  <si>
    <t>100% of the credits we traced by name/RO similarity turned out to have settled a different, unrelated bill. This guardrail is why Rules 2 and the "Flagged - Low Priority" categories exist in their current careful form.</t>
  </si>
  <si>
    <t>S4</t>
  </si>
  <si>
    <t>Confirmed Settlement Source (on-demand only, out of the automated pipeline)</t>
  </si>
  <si>
    <t>Proving exactly which payment or credit settled a specific bill requires the NetSuite REST Record API's /apply subresource -- a slow, per-record, live lookup, not a bulk daily-batch pull.</t>
  </si>
  <si>
    <t>Deliberately kept OUT of Rules 1-4's automated pipeline -- this is a manual/support drill-down tool for when a human needs the deep answer, not something the bulk matcher runs by default.</t>
  </si>
  <si>
    <t>Vendor Statement Code Map (supports Supporting Rule S1)</t>
  </si>
  <si>
    <t>Per-vendor/program mapping of numeric prefix codes to transaction type. Populated as more vendor statements are reviewed (meeting follow-up item).</t>
  </si>
  <si>
    <t>Vendor / Statement Program</t>
  </si>
  <si>
    <t>Prefix Code</t>
  </si>
  <si>
    <t>Transaction Type</t>
  </si>
  <si>
    <t>Source</t>
  </si>
  <si>
    <t>Notes</t>
  </si>
  <si>
    <t>Fred Beans Parts (and other vendors on the same statement program)</t>
  </si>
  <si>
    <t>35</t>
  </si>
  <si>
    <t>Invoice</t>
  </si>
  <si>
    <t>Meeting 8/20/2026 (Jenn Ellis)</t>
  </si>
  <si>
    <t>Confirmed applies to more than one vendor sharing this statement program, not Fred Beans alone.</t>
  </si>
  <si>
    <t>57</t>
  </si>
  <si>
    <t>Payment</t>
  </si>
  <si>
    <t>(other vendors)</t>
  </si>
  <si>
    <t>TBD</t>
  </si>
  <si>
    <t>To be collected</t>
  </si>
  <si>
    <t>Add a new row per vendor/program as their statement format is reviewed -- do not assume these two codes are universal.</t>
  </si>
  <si>
    <t>Cross-reference: investigated scenarios -&gt; governing rule (v2 numbering)</t>
  </si>
  <si>
    <t>See "Vive - Invoice Findings - Scenarios.xlsx" for the full raw-record proof behind each scenario.</t>
  </si>
  <si>
    <t>Scenario (from Vive - Invoice Findings - Scenarios.xlsx)</t>
  </si>
  <si>
    <t>Example Invoice</t>
  </si>
  <si>
    <t>Governing Rule(s)</t>
  </si>
  <si>
    <t>1 - Matched + Paid (Payment)</t>
  </si>
  <si>
    <t>9314571X1</t>
  </si>
  <si>
    <t>Rule 1, S2</t>
  </si>
  <si>
    <t>RECONCILED</t>
  </si>
  <si>
    <t>2 - Matched, Paid, No Payment</t>
  </si>
  <si>
    <t>9412733</t>
  </si>
  <si>
    <t>Rule 1, S2, S4 (not run by default)</t>
  </si>
  <si>
    <t>RECONCILED (settlement source unconfirmed, and not required)</t>
  </si>
  <si>
    <t>3 - Duplicate Print</t>
  </si>
  <si>
    <t>9386727</t>
  </si>
  <si>
    <t>Rule 1 (duplicate-pair case)</t>
  </si>
  <si>
    <t>4 - Credit Exists But Unlinked</t>
  </si>
  <si>
    <t>9148606 / CM9148606</t>
  </si>
  <si>
    <t>Rule 1 (bill) + S3 (guardrail on the credit)</t>
  </si>
  <si>
    <t>RECONCILED (bill) -- credit's own disposition annotated via S3, not auto-linked to 9148606</t>
  </si>
  <si>
    <t>5 - Amount Mismatch (Credit)</t>
  </si>
  <si>
    <t>CM9189267</t>
  </si>
  <si>
    <t>Flagged - Low Priority (CREDIT_AMOUNT_MISMATCH_LOW_PRIORITY)</t>
  </si>
  <si>
    <t>FLAGGED, low priority</t>
  </si>
  <si>
    <t>6 - Not Found In NetSuite</t>
  </si>
  <si>
    <t>8944468 / CM8944468</t>
  </si>
  <si>
    <t>Rule 3 not satisfied (LHS != RHS in this real case) -&gt; hard NOT_POSTED</t>
  </si>
  <si>
    <t>NOT_POSTED (blocking exception)</t>
  </si>
  <si>
    <t>Is a credit memo involved, multiple invoices AND statement Charges = Credits, AND NetSuite shows it Paid In Full / Fully Applied?</t>
  </si>
  <si>
    <t>Is a credit memo involved, multiple invoices AND statement Charges = Credits + Amount Due, AND NetSuite shows it Paid In Full / Fully Applied?</t>
  </si>
  <si>
    <t>if there is an invoice in the statement and it is present only once in the statement and  it is found in netsuite as fully paid with amount match
 OR  
if there is an invoice in the statement and it is present twice in the statement(once as charge and once as credit NOT CREDIT MEMO with same amount) and it is found in netsuite as fully paid with an amount match</t>
  </si>
  <si>
    <t>if there is an invoice present multiple times with or without credit and the charges add up to the credit column and the credit memo from statement is also present in netsuite as fully applied 
or 
if an invoice is present 2 times one with credit memo and invoice is fully paid and credit memo also is fully applied </t>
  </si>
  <si>
    <t>if there is an invoice in the statement with credit and charges and invoice is not found in netsuite but credit and charges match </t>
  </si>
  <si>
    <t xml:space="preserve">if there is an invoice present multiple times with or without credit and the charges adds up to the credit column and amount due included and the credit memo from statement is also present in netsuite as fully applied </t>
  </si>
  <si>
    <t xml:space="preserve">YES -&gt; RECONCILED </t>
  </si>
  <si>
    <t>NO -&gt; Go to step 5</t>
  </si>
  <si>
    <t>EXCEPTION</t>
  </si>
  <si>
    <t>if an invoice is not found , mismatch , CM mismatch etc , it ends up as an exception for review</t>
  </si>
  <si>
    <t>RULE</t>
  </si>
  <si>
    <t>DESCRIPTION</t>
  </si>
  <si>
    <t>DECISION</t>
  </si>
  <si>
    <t>NEXT STEPS</t>
  </si>
  <si>
    <t>DETAILED RULE</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</si>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</sst>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name val="Calibri"/>
    </font>
    <font>
      <i/>
      <sz val="11"/>
      <color rgb="FF595959"/>
      <name val="Calibri"/>
    </font>
    <font>
      <b/>
      <sz val="14"/>
      <name val="Calibri"/>
    </font>
    <font>
      <b/>
      <sz val="11"/>
      <name val="Calibri"/>
    </font>
    <font>
      <b/>
      <sz val="11"/>
      <color rgb="FFFFFFFF"/>
      <name val="Calibri"/>
    </font>
    <font>
      <b/>
      <sz val="11"/>
      <color theme="1"/>
      <name val="Calibri"/>
      <family val="2"/>
      <scheme val="minor"/>
    </font>
    <font>
      <sz val="11"/>
      <name val="Calibri"/>
      <family val="2"/>
    </font>
    <font>
      <b/>
      <sz val="11"/>
      <name val="Calibri"/>
      <family val="2"/>
    </font>
    <font>
      <b/>
      <sz val="11"/>
      <color theme="1"/>
      <name val="Calibri"/>
      <family val="2"/>
    </font>
  </fonts>
  <fills count="14">
    <fill>
      <patternFill patternType="none"/>
    </fill>
    <fill>
      <patternFill patternType="gray125"/>
    </fill>
    <fill>
      <patternFill patternType="solid">
        <fgColor rgb="FFD9D9D9"/>
        <bgColor rgb="FFD9D9D9"/>
      </patternFill>
    </fill>
    <fill>
      <patternFill patternType="solid">
        <fgColor rgb="FFC6E0B4"/>
        <bgColor rgb="FFC6E0B4"/>
      </patternFill>
    </fill>
    <fill>
      <patternFill patternType="solid">
        <fgColor rgb="FFFFE699"/>
        <bgColor rgb="FFFFE699"/>
      </patternFill>
    </fill>
    <fill>
      <patternFill patternType="solid">
        <fgColor rgb="FFBDD7EE"/>
        <bgColor rgb="FFBDD7EE"/>
      </patternFill>
    </fill>
    <fill>
      <patternFill patternType="solid">
        <fgColor rgb="FF1F4E78"/>
        <bgColor rgb="FF1F4E78"/>
      </patternFill>
    </fill>
    <fill>
      <patternFill patternType="solid">
        <fgColor theme="0"/>
        <bgColor rgb="FFD9D9D9"/>
      </patternFill>
    </fill>
    <fill>
      <patternFill patternType="solid">
        <fgColor theme="0"/>
        <bgColor rgb="FFFFE699"/>
      </patternFill>
    </fill>
    <fill>
      <patternFill patternType="solid">
        <fgColor theme="0"/>
        <bgColor rgb="FFF4CCCC"/>
      </patternFill>
    </fill>
    <fill>
      <patternFill patternType="solid">
        <fgColor theme="6" tint="0.39997558519241921"/>
        <bgColor rgb="FFBDD7EE"/>
      </patternFill>
    </fill>
    <fill>
      <patternFill patternType="solid">
        <fgColor theme="6" tint="0.39997558519241921"/>
        <bgColor rgb="FFFFE699"/>
      </patternFill>
    </fill>
    <fill>
      <patternFill patternType="solid">
        <fgColor theme="6" tint="0.39997558519241921"/>
        <bgColor rgb="FFC6E0B4"/>
      </patternFill>
    </fill>
    <fill>
      <patternFill patternType="solid">
        <fgColor theme="5" tint="0.59999389629810485"/>
        <bgColor rgb="FFBDD7E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vertical="center" wrapText="1"/>
    </xf>
    <xf numFmtId="0" fontId="0" fillId="0" borderId="1" xfId="0" applyBorder="1" applyAlignment="1">
      <alignment horizontal="center" vertical="center" wrapText="1"/>
    </xf>
    <xf numFmtId="0" fontId="3" fillId="0" borderId="0" xfId="0" applyFont="1" applyAlignment="1">
      <alignment horizontal="center" vertical="center"/>
    </xf>
    <xf numFmtId="0" fontId="5" fillId="6"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applyAlignment="1">
      <alignment vertical="center" wrapText="1"/>
    </xf>
    <xf numFmtId="0" fontId="0" fillId="0" borderId="0" xfId="0"/>
    <xf numFmtId="0" fontId="3" fillId="7"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0" fillId="0" borderId="0" xfId="0" applyAlignment="1">
      <alignment wrapText="1"/>
    </xf>
    <xf numFmtId="0" fontId="7" fillId="9"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0" fillId="0" borderId="0" xfId="0" applyAlignment="1">
      <alignment horizontal="center" vertical="center"/>
    </xf>
    <xf numFmtId="0" fontId="6" fillId="0" borderId="0" xfId="0" applyFont="1"/>
    <xf numFmtId="0" fontId="6" fillId="0" borderId="0" xfId="0" applyFont="1" applyAlignment="1">
      <alignment horizontal="center" vertical="center"/>
    </xf>
    <xf numFmtId="0" fontId="8" fillId="0" borderId="1" xfId="0" applyFont="1" applyBorder="1" applyAlignment="1">
      <alignment vertical="center" wrapText="1"/>
    </xf>
    <xf numFmtId="0" fontId="9" fillId="0" borderId="0" xfId="0" applyFont="1" applyAlignment="1">
      <alignment horizontal="center"/>
    </xf>
    <xf numFmtId="0" fontId="6" fillId="0" borderId="0" xfId="0" applyFont="1" applyAlignment="1">
      <alignment horizontal="center"/>
    </xf>
    <xf numFmtId="0" fontId="8" fillId="10"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topLeftCell="A9" zoomScale="80" zoomScaleNormal="80" workbookViewId="0">
      <selection activeCell="F10" sqref="F10"/>
    </sheetView>
  </sheetViews>
  <sheetFormatPr defaultRowHeight="14.5" x14ac:dyDescent="0.35"/>
  <cols>
    <col min="1" max="1" width="8.453125" customWidth="1"/>
    <col min="2" max="2" width="62" customWidth="1"/>
    <col min="3" max="3" width="26" customWidth="1"/>
    <col min="4" max="4" width="20" customWidth="1"/>
    <col min="5" max="5" width="46.1796875" customWidth="1"/>
    <col min="6" max="6" width="14.1796875" style="22" customWidth="1"/>
  </cols>
  <sheetData>
    <row r="1" spans="1:6" ht="17" x14ac:dyDescent="0.4">
      <c r="A1" s="1" t="s">
        <v>0</v>
      </c>
    </row>
    <row r="2" spans="1:6" x14ac:dyDescent="0.35">
      <c r="A2" s="2" t="s">
        <v>1</v>
      </c>
    </row>
    <row r="3" spans="1:6" s="23" customFormat="1" x14ac:dyDescent="0.35">
      <c r="A3" s="26" t="s">
        <v>149</v>
      </c>
      <c r="B3" s="27" t="s">
        <v>150</v>
      </c>
      <c r="C3" s="27" t="s">
        <v>151</v>
      </c>
      <c r="D3" s="27" t="s">
        <v>152</v>
      </c>
      <c r="E3" s="27" t="s">
        <v>153</v>
      </c>
      <c r="F3" s="24" t="s">
        <v>154</v>
      </c>
    </row>
    <row r="5" spans="1:6" ht="130.5" x14ac:dyDescent="0.35">
      <c r="A5" s="3" t="s">
        <v>2</v>
      </c>
      <c r="B5" s="25" t="s">
        <v>3</v>
      </c>
      <c r="C5" s="20" t="s">
        <v>4</v>
      </c>
      <c r="D5" s="5" t="s">
        <v>5</v>
      </c>
      <c r="E5" s="17" t="s">
        <v>141</v>
      </c>
      <c r="F5" s="22">
        <v>93</v>
      </c>
    </row>
    <row r="7" spans="1:6" ht="116" x14ac:dyDescent="0.35">
      <c r="A7" s="3" t="s">
        <v>6</v>
      </c>
      <c r="B7" s="4" t="s">
        <v>139</v>
      </c>
      <c r="C7" s="20" t="s">
        <v>4</v>
      </c>
      <c r="D7" s="5" t="s">
        <v>7</v>
      </c>
      <c r="E7" s="17" t="s">
        <v>142</v>
      </c>
      <c r="F7" s="22">
        <v>10</v>
      </c>
    </row>
    <row r="9" spans="1:6" ht="13.5" customHeight="1" x14ac:dyDescent="0.35">
      <c r="A9" s="14"/>
      <c r="B9" s="4"/>
      <c r="C9" s="15"/>
      <c r="D9" s="5"/>
    </row>
    <row r="10" spans="1:6" ht="72.5" x14ac:dyDescent="0.35">
      <c r="A10" s="3">
        <v>3</v>
      </c>
      <c r="B10" s="4" t="s">
        <v>140</v>
      </c>
      <c r="C10" s="28" t="s">
        <v>4</v>
      </c>
      <c r="D10" s="18" t="s">
        <v>146</v>
      </c>
      <c r="E10" s="17" t="s">
        <v>144</v>
      </c>
      <c r="F10" s="22">
        <v>7</v>
      </c>
    </row>
    <row r="11" spans="1:6" x14ac:dyDescent="0.35">
      <c r="F11"/>
    </row>
    <row r="12" spans="1:6" ht="43.5" x14ac:dyDescent="0.35">
      <c r="A12" s="3">
        <v>4</v>
      </c>
      <c r="B12" s="4" t="s">
        <v>9</v>
      </c>
      <c r="C12" s="19" t="s">
        <v>145</v>
      </c>
      <c r="D12" s="5" t="s">
        <v>10</v>
      </c>
      <c r="E12" s="17" t="s">
        <v>143</v>
      </c>
      <c r="F12" s="22">
        <v>8</v>
      </c>
    </row>
    <row r="13" spans="1:6" x14ac:dyDescent="0.35">
      <c r="F13"/>
    </row>
    <row r="14" spans="1:6" ht="29" x14ac:dyDescent="0.35">
      <c r="A14" s="3">
        <v>5</v>
      </c>
      <c r="B14" s="4" t="s">
        <v>12</v>
      </c>
      <c r="C14" s="21" t="s">
        <v>147</v>
      </c>
      <c r="D14" s="16"/>
      <c r="E14" s="17" t="s">
        <v>148</v>
      </c>
      <c r="F14" s="22">
        <v>27</v>
      </c>
    </row>
    <row r="16" spans="1:6" x14ac:dyDescent="0.35">
      <c r="F16" s="22">
        <f>SUM(F5:F14)</f>
        <v>145</v>
      </c>
    </row>
    <row r="17" spans="1:4" ht="45" customHeight="1" x14ac:dyDescent="0.35">
      <c r="A17" s="6" t="s">
        <v>13</v>
      </c>
      <c r="B17" s="12" t="s">
        <v>14</v>
      </c>
      <c r="C17" s="13"/>
      <c r="D17" s="13"/>
    </row>
  </sheetData>
  <mergeCells count="1">
    <mergeCell ref="B17:D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pane ySplit="4" topLeftCell="A5" activePane="bottomLeft" state="frozen"/>
      <selection pane="bottomLeft"/>
    </sheetView>
  </sheetViews>
  <sheetFormatPr defaultRowHeight="14.5" x14ac:dyDescent="0.35"/>
  <cols>
    <col min="1" max="1" width="8" customWidth="1"/>
    <col min="2" max="2" width="34" customWidth="1"/>
    <col min="3" max="3" width="46" customWidth="1"/>
    <col min="4" max="4" width="32" customWidth="1"/>
    <col min="5" max="5" width="46" customWidth="1"/>
    <col min="6" max="6" width="26" customWidth="1"/>
    <col min="7" max="7" width="30" customWidth="1"/>
    <col min="8" max="8" width="36" customWidth="1"/>
    <col min="9" max="9" width="46" customWidth="1"/>
  </cols>
  <sheetData>
    <row r="1" spans="1:9" ht="17" x14ac:dyDescent="0.4">
      <c r="A1" s="1" t="s">
        <v>15</v>
      </c>
    </row>
    <row r="2" spans="1:9" x14ac:dyDescent="0.35">
      <c r="A2" s="2" t="s">
        <v>16</v>
      </c>
    </row>
    <row r="4" spans="1:9" x14ac:dyDescent="0.35">
      <c r="A4" s="7" t="s">
        <v>17</v>
      </c>
      <c r="B4" s="7" t="s">
        <v>18</v>
      </c>
      <c r="C4" s="7" t="s">
        <v>19</v>
      </c>
      <c r="D4" s="7" t="s">
        <v>20</v>
      </c>
      <c r="E4" s="7" t="s">
        <v>21</v>
      </c>
      <c r="F4" s="7" t="s">
        <v>22</v>
      </c>
      <c r="G4" s="7" t="s">
        <v>23</v>
      </c>
      <c r="H4" s="7" t="s">
        <v>24</v>
      </c>
      <c r="I4" s="7" t="s">
        <v>25</v>
      </c>
    </row>
    <row r="5" spans="1:9" ht="130" customHeight="1" x14ac:dyDescent="0.35">
      <c r="A5" s="8" t="s">
        <v>2</v>
      </c>
      <c r="B5" s="9" t="s">
        <v>26</v>
      </c>
      <c r="C5" s="9" t="s">
        <v>27</v>
      </c>
      <c r="D5" s="9" t="s">
        <v>28</v>
      </c>
      <c r="E5" s="9" t="s">
        <v>29</v>
      </c>
      <c r="F5" s="8" t="s">
        <v>30</v>
      </c>
      <c r="G5" s="9" t="s">
        <v>31</v>
      </c>
      <c r="H5" s="9" t="s">
        <v>32</v>
      </c>
      <c r="I5" s="9" t="s">
        <v>33</v>
      </c>
    </row>
    <row r="6" spans="1:9" ht="150" customHeight="1" x14ac:dyDescent="0.35">
      <c r="A6" s="8" t="s">
        <v>6</v>
      </c>
      <c r="B6" s="9" t="s">
        <v>34</v>
      </c>
      <c r="C6" s="9" t="s">
        <v>35</v>
      </c>
      <c r="D6" s="9" t="s">
        <v>36</v>
      </c>
      <c r="E6" s="9" t="s">
        <v>37</v>
      </c>
      <c r="F6" s="8" t="s">
        <v>30</v>
      </c>
      <c r="G6" s="9" t="s">
        <v>31</v>
      </c>
      <c r="H6" s="9" t="s">
        <v>38</v>
      </c>
      <c r="I6" s="9" t="s">
        <v>39</v>
      </c>
    </row>
    <row r="7" spans="1:9" ht="150" customHeight="1" x14ac:dyDescent="0.35">
      <c r="A7" s="10" t="s">
        <v>8</v>
      </c>
      <c r="B7" s="9" t="s">
        <v>40</v>
      </c>
      <c r="C7" s="9" t="s">
        <v>41</v>
      </c>
      <c r="D7" s="9" t="s">
        <v>42</v>
      </c>
      <c r="E7" s="9" t="s">
        <v>43</v>
      </c>
      <c r="F7" s="10" t="s">
        <v>44</v>
      </c>
      <c r="G7" s="9" t="s">
        <v>45</v>
      </c>
      <c r="H7" s="9" t="s">
        <v>46</v>
      </c>
      <c r="I7" s="9" t="s">
        <v>47</v>
      </c>
    </row>
    <row r="8" spans="1:9" ht="140" customHeight="1" x14ac:dyDescent="0.35">
      <c r="A8" s="11" t="s">
        <v>11</v>
      </c>
      <c r="B8" s="9" t="s">
        <v>48</v>
      </c>
      <c r="C8" s="9" t="s">
        <v>49</v>
      </c>
      <c r="D8" s="9" t="s">
        <v>50</v>
      </c>
      <c r="E8" s="9" t="s">
        <v>51</v>
      </c>
      <c r="F8" s="11" t="s">
        <v>52</v>
      </c>
      <c r="G8" s="9" t="s">
        <v>53</v>
      </c>
      <c r="H8" s="9" t="s">
        <v>54</v>
      </c>
      <c r="I8" s="9" t="s">
        <v>55</v>
      </c>
    </row>
  </sheetData>
  <autoFilter ref="A4:I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defaultRowHeight="14.5" x14ac:dyDescent="0.35"/>
  <cols>
    <col min="1" max="1" width="34" customWidth="1"/>
    <col min="2" max="2" width="44" customWidth="1"/>
    <col min="3" max="3" width="60" customWidth="1"/>
    <col min="4" max="4" width="16" customWidth="1"/>
    <col min="5" max="5" width="40" customWidth="1"/>
  </cols>
  <sheetData>
    <row r="1" spans="1:5" ht="17" x14ac:dyDescent="0.4">
      <c r="A1" s="1" t="s">
        <v>56</v>
      </c>
    </row>
    <row r="2" spans="1:5" x14ac:dyDescent="0.35">
      <c r="A2" s="2" t="s">
        <v>57</v>
      </c>
    </row>
    <row r="4" spans="1:5" x14ac:dyDescent="0.35">
      <c r="A4" s="7" t="s">
        <v>58</v>
      </c>
      <c r="B4" s="7" t="s">
        <v>59</v>
      </c>
      <c r="C4" s="7" t="s">
        <v>60</v>
      </c>
      <c r="D4" s="7" t="s">
        <v>61</v>
      </c>
      <c r="E4" s="7" t="s">
        <v>62</v>
      </c>
    </row>
    <row r="5" spans="1:5" ht="140" customHeight="1" x14ac:dyDescent="0.35">
      <c r="A5" s="9" t="s">
        <v>63</v>
      </c>
      <c r="B5" s="9" t="s">
        <v>64</v>
      </c>
      <c r="C5" s="9" t="s">
        <v>65</v>
      </c>
      <c r="D5" s="9" t="s">
        <v>66</v>
      </c>
      <c r="E5" s="9" t="s">
        <v>67</v>
      </c>
    </row>
    <row r="6" spans="1:5" ht="140" customHeight="1" x14ac:dyDescent="0.35">
      <c r="A6" s="9" t="s">
        <v>68</v>
      </c>
      <c r="B6" s="9" t="s">
        <v>69</v>
      </c>
      <c r="C6" s="9" t="s">
        <v>70</v>
      </c>
      <c r="D6" s="9" t="s">
        <v>66</v>
      </c>
      <c r="E6" s="9" t="s">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sheetViews>
  <sheetFormatPr defaultRowHeight="14.5" x14ac:dyDescent="0.35"/>
  <cols>
    <col min="1" max="1" width="8" customWidth="1"/>
    <col min="2" max="2" width="34" customWidth="1"/>
    <col min="3" max="4" width="55" customWidth="1"/>
  </cols>
  <sheetData>
    <row r="1" spans="1:4" ht="17" x14ac:dyDescent="0.4">
      <c r="A1" s="1" t="s">
        <v>72</v>
      </c>
    </row>
    <row r="3" spans="1:4" x14ac:dyDescent="0.35">
      <c r="A3" s="7" t="s">
        <v>73</v>
      </c>
      <c r="B3" s="7" t="s">
        <v>74</v>
      </c>
      <c r="C3" s="7" t="s">
        <v>75</v>
      </c>
      <c r="D3" s="7" t="s">
        <v>76</v>
      </c>
    </row>
    <row r="4" spans="1:4" ht="90" customHeight="1" x14ac:dyDescent="0.35">
      <c r="A4" s="9" t="s">
        <v>77</v>
      </c>
      <c r="B4" s="9" t="s">
        <v>78</v>
      </c>
      <c r="C4" s="9" t="s">
        <v>79</v>
      </c>
      <c r="D4" s="9" t="s">
        <v>80</v>
      </c>
    </row>
    <row r="5" spans="1:4" ht="90" customHeight="1" x14ac:dyDescent="0.35">
      <c r="A5" s="9" t="s">
        <v>81</v>
      </c>
      <c r="B5" s="9" t="s">
        <v>82</v>
      </c>
      <c r="C5" s="9" t="s">
        <v>83</v>
      </c>
      <c r="D5" s="9" t="s">
        <v>84</v>
      </c>
    </row>
    <row r="6" spans="1:4" ht="90" customHeight="1" x14ac:dyDescent="0.35">
      <c r="A6" s="9" t="s">
        <v>85</v>
      </c>
      <c r="B6" s="9" t="s">
        <v>86</v>
      </c>
      <c r="C6" s="9" t="s">
        <v>87</v>
      </c>
      <c r="D6" s="9" t="s">
        <v>88</v>
      </c>
    </row>
    <row r="7" spans="1:4" ht="90" customHeight="1" x14ac:dyDescent="0.35">
      <c r="A7" s="9" t="s">
        <v>89</v>
      </c>
      <c r="B7" s="9" t="s">
        <v>90</v>
      </c>
      <c r="C7" s="9" t="s">
        <v>91</v>
      </c>
      <c r="D7" s="9" t="s">
        <v>92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heetViews>
  <sheetFormatPr defaultRowHeight="14.5" x14ac:dyDescent="0.35"/>
  <cols>
    <col min="1" max="1" width="45" customWidth="1"/>
    <col min="2" max="2" width="14" customWidth="1"/>
    <col min="3" max="3" width="18" customWidth="1"/>
    <col min="4" max="4" width="28" customWidth="1"/>
    <col min="5" max="5" width="45" customWidth="1"/>
  </cols>
  <sheetData>
    <row r="1" spans="1:5" ht="17" x14ac:dyDescent="0.4">
      <c r="A1" s="1" t="s">
        <v>93</v>
      </c>
    </row>
    <row r="2" spans="1:5" x14ac:dyDescent="0.35">
      <c r="A2" s="2" t="s">
        <v>94</v>
      </c>
    </row>
    <row r="4" spans="1:5" x14ac:dyDescent="0.35">
      <c r="A4" s="7" t="s">
        <v>95</v>
      </c>
      <c r="B4" s="7" t="s">
        <v>96</v>
      </c>
      <c r="C4" s="7" t="s">
        <v>97</v>
      </c>
      <c r="D4" s="7" t="s">
        <v>98</v>
      </c>
      <c r="E4" s="7" t="s">
        <v>99</v>
      </c>
    </row>
    <row r="5" spans="1:5" ht="40" customHeight="1" x14ac:dyDescent="0.35">
      <c r="A5" s="9" t="s">
        <v>100</v>
      </c>
      <c r="B5" s="9" t="s">
        <v>101</v>
      </c>
      <c r="C5" s="9" t="s">
        <v>102</v>
      </c>
      <c r="D5" s="9" t="s">
        <v>103</v>
      </c>
      <c r="E5" s="9" t="s">
        <v>104</v>
      </c>
    </row>
    <row r="6" spans="1:5" ht="40" customHeight="1" x14ac:dyDescent="0.35">
      <c r="A6" s="9" t="s">
        <v>100</v>
      </c>
      <c r="B6" s="9" t="s">
        <v>105</v>
      </c>
      <c r="C6" s="9" t="s">
        <v>106</v>
      </c>
      <c r="D6" s="9" t="s">
        <v>103</v>
      </c>
      <c r="E6" s="9"/>
    </row>
    <row r="7" spans="1:5" ht="40" customHeight="1" x14ac:dyDescent="0.35">
      <c r="A7" s="9" t="s">
        <v>107</v>
      </c>
      <c r="B7" s="9" t="s">
        <v>108</v>
      </c>
      <c r="C7" s="9" t="s">
        <v>108</v>
      </c>
      <c r="D7" s="9" t="s">
        <v>109</v>
      </c>
      <c r="E7" s="9" t="s">
        <v>110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workbookViewId="0"/>
  </sheetViews>
  <sheetFormatPr defaultRowHeight="14.5" x14ac:dyDescent="0.35"/>
  <cols>
    <col min="1" max="1" width="40" customWidth="1"/>
    <col min="2" max="2" width="22" customWidth="1"/>
    <col min="3" max="3" width="40" customWidth="1"/>
    <col min="4" max="4" width="45" customWidth="1"/>
  </cols>
  <sheetData>
    <row r="1" spans="1:4" ht="17" x14ac:dyDescent="0.4">
      <c r="A1" s="1" t="s">
        <v>111</v>
      </c>
    </row>
    <row r="2" spans="1:4" x14ac:dyDescent="0.35">
      <c r="A2" s="2" t="s">
        <v>112</v>
      </c>
    </row>
    <row r="4" spans="1:4" ht="29" x14ac:dyDescent="0.35">
      <c r="A4" s="7" t="s">
        <v>113</v>
      </c>
      <c r="B4" s="7" t="s">
        <v>114</v>
      </c>
      <c r="C4" s="7" t="s">
        <v>115</v>
      </c>
      <c r="D4" s="7" t="s">
        <v>22</v>
      </c>
    </row>
    <row r="5" spans="1:4" ht="50" customHeight="1" x14ac:dyDescent="0.35">
      <c r="A5" s="9" t="s">
        <v>116</v>
      </c>
      <c r="B5" s="9" t="s">
        <v>117</v>
      </c>
      <c r="C5" s="9" t="s">
        <v>118</v>
      </c>
      <c r="D5" s="9" t="s">
        <v>119</v>
      </c>
    </row>
    <row r="6" spans="1:4" ht="50" customHeight="1" x14ac:dyDescent="0.35">
      <c r="A6" s="9" t="s">
        <v>120</v>
      </c>
      <c r="B6" s="9" t="s">
        <v>121</v>
      </c>
      <c r="C6" s="9" t="s">
        <v>122</v>
      </c>
      <c r="D6" s="9" t="s">
        <v>123</v>
      </c>
    </row>
    <row r="7" spans="1:4" ht="50" customHeight="1" x14ac:dyDescent="0.35">
      <c r="A7" s="9" t="s">
        <v>124</v>
      </c>
      <c r="B7" s="9" t="s">
        <v>125</v>
      </c>
      <c r="C7" s="9" t="s">
        <v>126</v>
      </c>
      <c r="D7" s="9" t="s">
        <v>119</v>
      </c>
    </row>
    <row r="8" spans="1:4" ht="50" customHeight="1" x14ac:dyDescent="0.35">
      <c r="A8" s="9" t="s">
        <v>127</v>
      </c>
      <c r="B8" s="9" t="s">
        <v>128</v>
      </c>
      <c r="C8" s="9" t="s">
        <v>129</v>
      </c>
      <c r="D8" s="9" t="s">
        <v>130</v>
      </c>
    </row>
    <row r="9" spans="1:4" ht="50" customHeight="1" x14ac:dyDescent="0.35">
      <c r="A9" s="9" t="s">
        <v>131</v>
      </c>
      <c r="B9" s="9" t="s">
        <v>132</v>
      </c>
      <c r="C9" s="9" t="s">
        <v>133</v>
      </c>
      <c r="D9" s="9" t="s">
        <v>134</v>
      </c>
    </row>
    <row r="10" spans="1:4" ht="50" customHeight="1" x14ac:dyDescent="0.35">
      <c r="A10" s="9" t="s">
        <v>135</v>
      </c>
      <c r="B10" s="9" t="s">
        <v>136</v>
      </c>
      <c r="C10" s="9" t="s">
        <v>137</v>
      </c>
      <c r="D10" s="9" t="s">
        <v>138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At a Glance</vt:lpstr>
      <vt:lpstr>Full Detail (Reference)</vt:lpstr>
      <vt:lpstr>Flagged - Low Priority</vt:lpstr>
      <vt:lpstr>Supporting Rules - Guardrails</vt:lpstr>
      <vt:lpstr>Vendor Statement Code Map</vt:lpstr>
      <vt:lpstr>Scenario Cross-Reference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Vaishali Rao Yellur</cp:lastModifiedBy>
  <dcterms:created xsi:type="dcterms:W3CDTF">2026-08-21T10:18:19Z</dcterms:created>
  <dcterms:modified xsi:type="dcterms:W3CDTF">2026-08-24T09:39:33Z</dcterms:modified>
</cp:coreProperties>
</file>