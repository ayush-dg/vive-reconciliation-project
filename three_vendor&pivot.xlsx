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lu\Desktop\vive-reconciliation-project\"/>
    </mc:Choice>
  </mc:AlternateContent>
  <xr:revisionPtr revIDLastSave="0" documentId="13_ncr:1_{CDBF1509-0088-4693-BB4E-63F04A08C9C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ksi_hew" sheetId="1" r:id="rId1"/>
    <sheet name="ksi_pivot" sheetId="2" r:id="rId2"/>
    <sheet name="nucar_quonset" sheetId="3" r:id="rId3"/>
    <sheet name="nucar_pivot" sheetId="4" r:id="rId4"/>
    <sheet name="berlin_hew" sheetId="5" r:id="rId5"/>
    <sheet name="berlin_pivot" sheetId="6" r:id="rId6"/>
  </sheets>
  <definedNames>
    <definedName name="_xlnm._FilterDatabase" localSheetId="4" hidden="1">berlin_hew!$A$1:$G$90</definedName>
    <definedName name="_xlnm._FilterDatabase" localSheetId="0" hidden="1">ksi_hew!$A$1:$J$47</definedName>
    <definedName name="_xlnm._FilterDatabase" localSheetId="2" hidden="1">nucar_quonset!$A$1:$J$58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B6" i="6" s="1"/>
  <c r="B6" i="4"/>
  <c r="B5" i="4"/>
  <c r="B4" i="4"/>
  <c r="B7" i="4" s="1"/>
  <c r="B5" i="2"/>
  <c r="B4" i="2"/>
  <c r="B6" i="2" s="1"/>
</calcChain>
</file>

<file path=xl/sharedStrings.xml><?xml version="1.0" encoding="utf-8"?>
<sst xmlns="http://schemas.openxmlformats.org/spreadsheetml/2006/main" count="755" uniqueCount="235">
  <si>
    <t>vendor_group</t>
  </si>
  <si>
    <t>line_num</t>
  </si>
  <si>
    <t>invoice_date</t>
  </si>
  <si>
    <t>invoice_no</t>
  </si>
  <si>
    <t>purchases</t>
  </si>
  <si>
    <t>payments</t>
  </si>
  <si>
    <t>balance</t>
  </si>
  <si>
    <t>netsuite_amount</t>
  </si>
  <si>
    <t>netsuite_match_status</t>
  </si>
  <si>
    <t>netsuite_status</t>
  </si>
  <si>
    <t>DCD BH, INC. DBA NUCAR HONDA OF NORWOOD</t>
  </si>
  <si>
    <t>864267-1R</t>
  </si>
  <si>
    <t>Invoice Not Present</t>
  </si>
  <si>
    <t>865453-1</t>
  </si>
  <si>
    <t>DCD PARTS DISTRIBUTION LLC</t>
  </si>
  <si>
    <t>7659-2R</t>
  </si>
  <si>
    <t>7977-1</t>
  </si>
  <si>
    <t>Match</t>
  </si>
  <si>
    <t>B</t>
  </si>
  <si>
    <t>12059-1R</t>
  </si>
  <si>
    <t>12977-1</t>
  </si>
  <si>
    <t>32633-1</t>
  </si>
  <si>
    <t>32045-1R</t>
  </si>
  <si>
    <t>54753-1R</t>
  </si>
  <si>
    <t>55445-1</t>
  </si>
  <si>
    <t>A</t>
  </si>
  <si>
    <t>55445-2</t>
  </si>
  <si>
    <t>56005-1</t>
  </si>
  <si>
    <t>50490-1</t>
  </si>
  <si>
    <t>56032-1</t>
  </si>
  <si>
    <t>56400-1</t>
  </si>
  <si>
    <t>57007-2</t>
  </si>
  <si>
    <t>57007-1</t>
  </si>
  <si>
    <t>57125-2</t>
  </si>
  <si>
    <t>57269-2</t>
  </si>
  <si>
    <t>57071-1</t>
  </si>
  <si>
    <t>57189-2</t>
  </si>
  <si>
    <t>57269-1</t>
  </si>
  <si>
    <t>57125-1</t>
  </si>
  <si>
    <t>57189-1</t>
  </si>
  <si>
    <t>57619-1</t>
  </si>
  <si>
    <t>Amount Mismatch</t>
  </si>
  <si>
    <t>A, B</t>
  </si>
  <si>
    <t>53190-1</t>
  </si>
  <si>
    <t>58067-1</t>
  </si>
  <si>
    <t>58035-1</t>
  </si>
  <si>
    <t>58479-1</t>
  </si>
  <si>
    <t>58130-1</t>
  </si>
  <si>
    <t>59022-1</t>
  </si>
  <si>
    <t>58828-2</t>
  </si>
  <si>
    <t>58828-1</t>
  </si>
  <si>
    <t>59738-3</t>
  </si>
  <si>
    <t>59738-2</t>
  </si>
  <si>
    <t>58828-3</t>
  </si>
  <si>
    <t>59738-4</t>
  </si>
  <si>
    <t>59926-1</t>
  </si>
  <si>
    <t>59948-2</t>
  </si>
  <si>
    <t>58828-3R</t>
  </si>
  <si>
    <t>60741-1</t>
  </si>
  <si>
    <t>60727-1</t>
  </si>
  <si>
    <t>59948-3</t>
  </si>
  <si>
    <t>61090-1</t>
  </si>
  <si>
    <t>60953-1</t>
  </si>
  <si>
    <t>59738-2R</t>
  </si>
  <si>
    <t>60953-1R</t>
  </si>
  <si>
    <t>60727-2</t>
  </si>
  <si>
    <t>61568-1</t>
  </si>
  <si>
    <t>61753-2</t>
  </si>
  <si>
    <t>61753-1</t>
  </si>
  <si>
    <t>61568-2</t>
  </si>
  <si>
    <t>59948-1</t>
  </si>
  <si>
    <t>DCD Automotive Holdings</t>
  </si>
  <si>
    <t>80169W</t>
  </si>
  <si>
    <t>80411WX1</t>
  </si>
  <si>
    <t>82575W</t>
  </si>
  <si>
    <t>80244WX1</t>
  </si>
  <si>
    <t>posting_date</t>
  </si>
  <si>
    <t>document_no</t>
  </si>
  <si>
    <t>po_no</t>
  </si>
  <si>
    <t>description</t>
  </si>
  <si>
    <t>customer_no</t>
  </si>
  <si>
    <t>due_date</t>
  </si>
  <si>
    <t>remaining_amount</t>
  </si>
  <si>
    <t>I41260700370</t>
  </si>
  <si>
    <t>Order No.S41260700470</t>
  </si>
  <si>
    <t>44-00407</t>
  </si>
  <si>
    <t>I41260700371</t>
  </si>
  <si>
    <t>Order No.S41260700487</t>
  </si>
  <si>
    <t>M4126070147</t>
  </si>
  <si>
    <t>Return Order SR2606250396</t>
  </si>
  <si>
    <t>M4126070219</t>
  </si>
  <si>
    <t>Return Order SR2606301631</t>
  </si>
  <si>
    <t>I41260701132</t>
  </si>
  <si>
    <t>Order No.S41260700710</t>
  </si>
  <si>
    <t>I41260701556</t>
  </si>
  <si>
    <t>Order No.S41260701851</t>
  </si>
  <si>
    <t>I41260701894</t>
  </si>
  <si>
    <t>Order No.S41260701850</t>
  </si>
  <si>
    <t>I41260702245</t>
  </si>
  <si>
    <t>Order No.S41260702110</t>
  </si>
  <si>
    <t>I41260702248</t>
  </si>
  <si>
    <t>Order No.S41260702213</t>
  </si>
  <si>
    <t>I41260702553</t>
  </si>
  <si>
    <t>Order No.S41260702037</t>
  </si>
  <si>
    <t>I41260703640</t>
  </si>
  <si>
    <t>Order No.S41260703734</t>
  </si>
  <si>
    <t>I41260703641</t>
  </si>
  <si>
    <t>Order No.S41260703740</t>
  </si>
  <si>
    <t>I41260703643</t>
  </si>
  <si>
    <t>Order No.S41260703816</t>
  </si>
  <si>
    <t>I41260703644</t>
  </si>
  <si>
    <t>Order No.S41260703819</t>
  </si>
  <si>
    <t>I41260703916</t>
  </si>
  <si>
    <t>Order No.S41260703736</t>
  </si>
  <si>
    <t>I41260703917</t>
  </si>
  <si>
    <t>Order No.S41260703739</t>
  </si>
  <si>
    <t>I41260703918</t>
  </si>
  <si>
    <t>Order No.S41260703818</t>
  </si>
  <si>
    <t>I41260704985</t>
  </si>
  <si>
    <t>Order No.S41260704665</t>
  </si>
  <si>
    <t>I41260705815</t>
  </si>
  <si>
    <t>Order No.S41260705802</t>
  </si>
  <si>
    <t>I41260705821</t>
  </si>
  <si>
    <t>Order No.S41260706019</t>
  </si>
  <si>
    <t>I41260706171</t>
  </si>
  <si>
    <t>Order No.S41260705799</t>
  </si>
  <si>
    <t>I41260706172</t>
  </si>
  <si>
    <t>Order No.S41260705800</t>
  </si>
  <si>
    <t>I41260706173</t>
  </si>
  <si>
    <t>Order No.S41260705801</t>
  </si>
  <si>
    <t>I41260706177</t>
  </si>
  <si>
    <t>Order No.S41260706016</t>
  </si>
  <si>
    <t>I41260706178</t>
  </si>
  <si>
    <t>Order No.S41260706018</t>
  </si>
  <si>
    <t>I41260706599</t>
  </si>
  <si>
    <t>Order No.S41260706551</t>
  </si>
  <si>
    <t>I41260706603</t>
  </si>
  <si>
    <t>Order No.S41260706609</t>
  </si>
  <si>
    <t>I41260706965</t>
  </si>
  <si>
    <t>Order No.S41260706549</t>
  </si>
  <si>
    <t>I41260707341</t>
  </si>
  <si>
    <t>Order No.S41260707302</t>
  </si>
  <si>
    <t>I41260707345</t>
  </si>
  <si>
    <t>Order No.S41260707388</t>
  </si>
  <si>
    <t>I41260707625</t>
  </si>
  <si>
    <t>Order No.S41260707299</t>
  </si>
  <si>
    <t>I41260707626</t>
  </si>
  <si>
    <t>Order No.S41260707300</t>
  </si>
  <si>
    <t>I41260707627</t>
  </si>
  <si>
    <t>Order No.S41260707301</t>
  </si>
  <si>
    <t>I41260707629</t>
  </si>
  <si>
    <t>Order No.S41260707602</t>
  </si>
  <si>
    <t>M4126071477</t>
  </si>
  <si>
    <t>Return Order SR2607151262</t>
  </si>
  <si>
    <t>I41260708698</t>
  </si>
  <si>
    <t>Order No.S41260708435</t>
  </si>
  <si>
    <t>I41260708699</t>
  </si>
  <si>
    <t>Order No.S41260708440</t>
  </si>
  <si>
    <t>I41260708710</t>
  </si>
  <si>
    <t>Order No.S41260709045</t>
  </si>
  <si>
    <t>I41260709076</t>
  </si>
  <si>
    <t>Order No.S41260709140</t>
  </si>
  <si>
    <t>I41260709511</t>
  </si>
  <si>
    <t>Order No.S41260709476</t>
  </si>
  <si>
    <t>I41260710242</t>
  </si>
  <si>
    <t>Order No.S41260710102</t>
  </si>
  <si>
    <t>I41260711218</t>
  </si>
  <si>
    <t>Order No.S41260711030</t>
  </si>
  <si>
    <t>I41260712433</t>
  </si>
  <si>
    <t>Order No.S41260712563</t>
  </si>
  <si>
    <t>I41260713217</t>
  </si>
  <si>
    <t>Order No.S41260713308</t>
  </si>
  <si>
    <t>M4126072677</t>
  </si>
  <si>
    <t>Return Order SR2607271885</t>
  </si>
  <si>
    <t>I41260714271</t>
  </si>
  <si>
    <t>Order No.S41260714105</t>
  </si>
  <si>
    <t>KSI Pivot Table – NetSuite Match Status Summary</t>
  </si>
  <si>
    <t>NetSuite Match Status</t>
  </si>
  <si>
    <t>Invoice Count</t>
  </si>
  <si>
    <t>Total</t>
  </si>
  <si>
    <t>LEGEND</t>
  </si>
  <si>
    <t>MATCH</t>
  </si>
  <si>
    <t>Invoice is present in statement AND in netsuite with same amount</t>
  </si>
  <si>
    <t>INVOICE NOT PRESENT</t>
  </si>
  <si>
    <t>Invoice is not found in netsuite at all</t>
  </si>
  <si>
    <t>Nucar Pivot Table – NetSuite Match Status Summary</t>
  </si>
  <si>
    <t>AMOUNT MISMATCH</t>
  </si>
  <si>
    <t>Invoice is present in statement AND in netsuite but amount differs</t>
  </si>
  <si>
    <t>stmt_date</t>
  </si>
  <si>
    <t>amount</t>
  </si>
  <si>
    <t>Invoice for PO 2107488</t>
  </si>
  <si>
    <t>Invoice for PO 2107346</t>
  </si>
  <si>
    <t>Invoice for PO 2107414</t>
  </si>
  <si>
    <t>Invoice for PO 2107508</t>
  </si>
  <si>
    <t>Invoice for PO 2107491</t>
  </si>
  <si>
    <t>Invoice for PO 2107466</t>
  </si>
  <si>
    <t>Invoice for PO 2107437CR</t>
  </si>
  <si>
    <t>Invoice for PO 2107435</t>
  </si>
  <si>
    <t>Invoice for PO 2107440</t>
  </si>
  <si>
    <t>Invoice for PO 2107493</t>
  </si>
  <si>
    <t>Invoice for PO 2107432</t>
  </si>
  <si>
    <t>Invoice for PO 2107404</t>
  </si>
  <si>
    <t>Invoice for PO 2107411</t>
  </si>
  <si>
    <t>Invoice for PO 2107489</t>
  </si>
  <si>
    <t>Invoice for PO 2107509</t>
  </si>
  <si>
    <t>Invoice for PO 2107514</t>
  </si>
  <si>
    <t>Invoice for PO 2107525</t>
  </si>
  <si>
    <t>Invoice for PO 26 RAV4 HV</t>
  </si>
  <si>
    <t>Invoice for PO 2107534</t>
  </si>
  <si>
    <t>Invoice for PO 2107432CR</t>
  </si>
  <si>
    <t>Invoice for PO 2107528</t>
  </si>
  <si>
    <t>Invoice for PO 2107558</t>
  </si>
  <si>
    <t>Invoice for PO 2107498</t>
  </si>
  <si>
    <t>Invoice for PO 2107555</t>
  </si>
  <si>
    <t>Invoice for PO 2107497</t>
  </si>
  <si>
    <t>Invoice for PO 2107455</t>
  </si>
  <si>
    <t>Invoice for PO 2107495</t>
  </si>
  <si>
    <t>Invoice for PO 26 RAV4</t>
  </si>
  <si>
    <t>Invoice for PO 2107475</t>
  </si>
  <si>
    <t>Invoice for PO 2107570</t>
  </si>
  <si>
    <t>Invoice for PO 2107552</t>
  </si>
  <si>
    <t>Invoice for PO 2107548</t>
  </si>
  <si>
    <t>Invoice for PO 2107545</t>
  </si>
  <si>
    <t>Invoice for PO 2107515</t>
  </si>
  <si>
    <t>Invoice for PO 2107570CR</t>
  </si>
  <si>
    <t>Invoice for PO 2107497CR</t>
  </si>
  <si>
    <t>Invoice for PO 2107588</t>
  </si>
  <si>
    <t>Invoice for PO 2107598</t>
  </si>
  <si>
    <t>Invoice for PO 2107526</t>
  </si>
  <si>
    <t>Invoice for PO 2702832</t>
  </si>
  <si>
    <t>Invoice for PO 2107592</t>
  </si>
  <si>
    <t>Invoice for PO 2107597</t>
  </si>
  <si>
    <t>Pivot Table – NetSuite Match Status Summary</t>
  </si>
  <si>
    <t>INVOICE NOT FOUND</t>
  </si>
  <si>
    <t xml:space="preserve"> Invoice is not found in netsuite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</si>
</sst>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1"/>
      <name val="Calibri"/>
    </font>
    <font>
      <sz val="11"/>
      <name val="Calibri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1"/>
      <color theme="1"/>
      <name val="Arial"/>
      <family val="2"/>
    </font>
    <font>
      <sz val="11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F4E78"/>
        <bgColor rgb="FF00336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3" fillId="0" borderId="0"/>
  </cellStyleXfs>
  <cellXfs count="29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/>
    <xf numFmtId="0" fontId="6" fillId="0" borderId="0" xfId="0" applyFont="1" applyAlignment="1">
      <alignment wrapText="1"/>
    </xf>
    <xf numFmtId="0" fontId="6" fillId="4" borderId="0" xfId="0" applyFont="1" applyFill="1"/>
    <xf numFmtId="0" fontId="3" fillId="5" borderId="1" xfId="0" applyFont="1" applyFill="1" applyBorder="1"/>
    <xf numFmtId="0" fontId="6" fillId="5" borderId="0" xfId="0" applyFont="1" applyFill="1"/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/>
    <xf numFmtId="0" fontId="10" fillId="0" borderId="2" xfId="0" applyFont="1" applyBorder="1"/>
    <xf numFmtId="0" fontId="11" fillId="0" borderId="2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/>
    <xf numFmtId="0" fontId="0" fillId="7" borderId="0" xfId="0" applyFill="1"/>
    <xf numFmtId="0" fontId="10" fillId="8" borderId="2" xfId="0" applyFont="1" applyFill="1" applyBorder="1"/>
    <xf numFmtId="0" fontId="0" fillId="8" borderId="0" xfId="0" applyFill="1"/>
    <xf numFmtId="0" fontId="13" fillId="0" borderId="0" xfId="1"/>
    <xf numFmtId="164" fontId="13" fillId="0" borderId="0" xfId="1" applyNumberFormat="1"/>
    <xf numFmtId="4" fontId="0" fillId="0" borderId="0" xfId="0" applyNumberFormat="1"/>
    <xf numFmtId="0" fontId="1" fillId="0" borderId="0" xfId="0" applyFont="1"/>
    <xf numFmtId="0" fontId="0" fillId="0" borderId="0" xfId="0"/>
    <xf numFmtId="0" fontId="7" fillId="0" borderId="0" xfId="0" applyFont="1"/>
  </cellXfs>
  <cellStyles count="2">
    <cellStyle name="Normal" xfId="0" builtinId="0"/>
    <cellStyle name="Normal 2" xfId="1" xr:uid="{00000000-0005-0000-0000-000001000000}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J2" sqref="J2"/>
    </sheetView>
  </sheetViews>
  <sheetFormatPr defaultRowHeight="14.5"/>
  <cols>
    <col min="1" max="1" width="13.90625" bestFit="1" customWidth="1"/>
    <col min="2" max="2" width="14.7265625" bestFit="1" customWidth="1"/>
    <col min="3" max="3" width="8.453125" bestFit="1" customWidth="1"/>
    <col min="4" max="4" width="24.54296875" bestFit="1" customWidth="1"/>
    <col min="5" max="5" width="14.08984375" bestFit="1" customWidth="1"/>
    <col min="6" max="6" width="11" bestFit="1" customWidth="1"/>
    <col min="7" max="7" width="19.08984375" bestFit="1" customWidth="1"/>
    <col min="8" max="8" width="16.36328125" customWidth="1"/>
    <col min="9" max="9" width="22.1796875" bestFit="1" customWidth="1"/>
  </cols>
  <sheetData>
    <row r="1" spans="1:1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7</v>
      </c>
      <c r="I1" t="s">
        <v>8</v>
      </c>
      <c r="J1" t="s">
        <v>9</v>
      </c>
    </row>
    <row r="2" spans="1:10">
      <c r="A2" s="1">
        <v>46204</v>
      </c>
      <c r="B2" t="s">
        <v>83</v>
      </c>
      <c r="C2">
        <v>2107491</v>
      </c>
      <c r="D2" t="s">
        <v>84</v>
      </c>
      <c r="E2" t="s">
        <v>85</v>
      </c>
      <c r="F2" s="1">
        <v>46234</v>
      </c>
      <c r="G2">
        <v>33</v>
      </c>
      <c r="H2" s="25">
        <v>33</v>
      </c>
      <c r="I2" t="s">
        <v>17</v>
      </c>
      <c r="J2" t="s">
        <v>25</v>
      </c>
    </row>
    <row r="3" spans="1:10">
      <c r="A3" s="1">
        <v>46204</v>
      </c>
      <c r="B3" t="s">
        <v>86</v>
      </c>
      <c r="C3">
        <v>2107491</v>
      </c>
      <c r="D3" t="s">
        <v>87</v>
      </c>
      <c r="E3" t="s">
        <v>85</v>
      </c>
      <c r="F3" s="1">
        <v>46234</v>
      </c>
      <c r="G3">
        <v>53</v>
      </c>
      <c r="H3" s="25">
        <v>53</v>
      </c>
      <c r="I3" t="s">
        <v>17</v>
      </c>
      <c r="J3" t="s">
        <v>25</v>
      </c>
    </row>
    <row r="4" spans="1:10">
      <c r="A4" s="1">
        <v>46205</v>
      </c>
      <c r="B4" t="s">
        <v>88</v>
      </c>
      <c r="C4">
        <v>2107411</v>
      </c>
      <c r="D4" t="s">
        <v>89</v>
      </c>
      <c r="E4" t="s">
        <v>85</v>
      </c>
      <c r="F4" s="1">
        <v>46228</v>
      </c>
      <c r="G4">
        <v>-32</v>
      </c>
      <c r="H4" s="25"/>
      <c r="I4" t="s">
        <v>12</v>
      </c>
    </row>
    <row r="5" spans="1:10">
      <c r="A5" s="1">
        <v>46205</v>
      </c>
      <c r="B5" t="s">
        <v>90</v>
      </c>
      <c r="C5">
        <v>2107382</v>
      </c>
      <c r="D5" t="s">
        <v>91</v>
      </c>
      <c r="E5" t="s">
        <v>85</v>
      </c>
      <c r="F5" s="1">
        <v>46233</v>
      </c>
      <c r="G5">
        <v>-12</v>
      </c>
      <c r="H5" s="25"/>
      <c r="I5" t="s">
        <v>12</v>
      </c>
    </row>
    <row r="6" spans="1:10">
      <c r="A6" s="1">
        <v>46205</v>
      </c>
      <c r="B6" t="s">
        <v>92</v>
      </c>
      <c r="C6">
        <v>2107491</v>
      </c>
      <c r="D6" t="s">
        <v>93</v>
      </c>
      <c r="E6" t="s">
        <v>85</v>
      </c>
      <c r="F6" s="1">
        <v>46235</v>
      </c>
      <c r="G6">
        <v>19</v>
      </c>
      <c r="H6" s="25">
        <v>19</v>
      </c>
      <c r="I6" t="s">
        <v>17</v>
      </c>
      <c r="J6" t="s">
        <v>25</v>
      </c>
    </row>
    <row r="7" spans="1:10">
      <c r="A7" s="1">
        <v>46209</v>
      </c>
      <c r="B7" t="s">
        <v>94</v>
      </c>
      <c r="C7">
        <v>2107410</v>
      </c>
      <c r="D7" t="s">
        <v>95</v>
      </c>
      <c r="E7" t="s">
        <v>85</v>
      </c>
      <c r="F7" s="1">
        <v>46239</v>
      </c>
      <c r="G7">
        <v>213</v>
      </c>
      <c r="H7" s="25">
        <v>213</v>
      </c>
      <c r="I7" t="s">
        <v>17</v>
      </c>
      <c r="J7" t="s">
        <v>25</v>
      </c>
    </row>
    <row r="8" spans="1:10">
      <c r="A8" s="1">
        <v>46209</v>
      </c>
      <c r="B8" t="s">
        <v>96</v>
      </c>
      <c r="C8">
        <v>2107410</v>
      </c>
      <c r="D8" t="s">
        <v>97</v>
      </c>
      <c r="E8" t="s">
        <v>85</v>
      </c>
      <c r="F8" s="1">
        <v>46239</v>
      </c>
      <c r="G8">
        <v>52</v>
      </c>
      <c r="H8" s="25">
        <v>52</v>
      </c>
      <c r="I8" t="s">
        <v>17</v>
      </c>
      <c r="J8" t="s">
        <v>25</v>
      </c>
    </row>
    <row r="9" spans="1:10">
      <c r="A9" s="1">
        <v>46210</v>
      </c>
      <c r="B9" t="s">
        <v>98</v>
      </c>
      <c r="C9">
        <v>2107514</v>
      </c>
      <c r="D9" t="s">
        <v>99</v>
      </c>
      <c r="E9" t="s">
        <v>85</v>
      </c>
      <c r="F9" s="1">
        <v>46240</v>
      </c>
      <c r="G9">
        <v>315</v>
      </c>
      <c r="H9" s="25">
        <v>315</v>
      </c>
      <c r="I9" t="s">
        <v>17</v>
      </c>
      <c r="J9" t="s">
        <v>25</v>
      </c>
    </row>
    <row r="10" spans="1:10">
      <c r="A10" s="1">
        <v>46210</v>
      </c>
      <c r="B10" t="s">
        <v>100</v>
      </c>
      <c r="C10">
        <v>2107530</v>
      </c>
      <c r="D10" t="s">
        <v>101</v>
      </c>
      <c r="E10" t="s">
        <v>85</v>
      </c>
      <c r="F10" s="1">
        <v>46240</v>
      </c>
      <c r="G10">
        <v>77</v>
      </c>
      <c r="H10" s="25">
        <v>77</v>
      </c>
      <c r="I10" t="s">
        <v>17</v>
      </c>
      <c r="J10" t="s">
        <v>25</v>
      </c>
    </row>
    <row r="11" spans="1:10">
      <c r="A11" s="1">
        <v>46210</v>
      </c>
      <c r="B11" t="s">
        <v>102</v>
      </c>
      <c r="C11">
        <v>2107518</v>
      </c>
      <c r="D11" t="s">
        <v>103</v>
      </c>
      <c r="E11" t="s">
        <v>85</v>
      </c>
      <c r="F11" s="1">
        <v>46240</v>
      </c>
      <c r="G11">
        <v>129</v>
      </c>
      <c r="H11" s="25">
        <v>129</v>
      </c>
      <c r="I11" t="s">
        <v>17</v>
      </c>
      <c r="J11" t="s">
        <v>25</v>
      </c>
    </row>
    <row r="12" spans="1:10">
      <c r="A12" s="1">
        <v>46212</v>
      </c>
      <c r="B12" t="s">
        <v>104</v>
      </c>
      <c r="C12">
        <v>2107534</v>
      </c>
      <c r="D12" t="s">
        <v>105</v>
      </c>
      <c r="E12" t="s">
        <v>85</v>
      </c>
      <c r="F12" s="1">
        <v>46242</v>
      </c>
      <c r="G12">
        <v>152</v>
      </c>
      <c r="H12" s="25">
        <v>152</v>
      </c>
      <c r="I12" t="s">
        <v>17</v>
      </c>
      <c r="J12" t="s">
        <v>25</v>
      </c>
    </row>
    <row r="13" spans="1:10">
      <c r="A13" s="1">
        <v>46212</v>
      </c>
      <c r="B13" t="s">
        <v>106</v>
      </c>
      <c r="C13">
        <v>2107410</v>
      </c>
      <c r="D13" t="s">
        <v>107</v>
      </c>
      <c r="E13" t="s">
        <v>85</v>
      </c>
      <c r="F13" s="1">
        <v>46242</v>
      </c>
      <c r="G13">
        <v>203</v>
      </c>
      <c r="H13" s="25">
        <v>203</v>
      </c>
      <c r="I13" t="s">
        <v>17</v>
      </c>
      <c r="J13" t="s">
        <v>25</v>
      </c>
    </row>
    <row r="14" spans="1:10">
      <c r="A14" s="1">
        <v>46212</v>
      </c>
      <c r="B14" t="s">
        <v>108</v>
      </c>
      <c r="C14">
        <v>2107536</v>
      </c>
      <c r="D14" t="s">
        <v>109</v>
      </c>
      <c r="E14" t="s">
        <v>85</v>
      </c>
      <c r="F14" s="1">
        <v>46242</v>
      </c>
      <c r="G14">
        <v>74</v>
      </c>
      <c r="H14" s="25">
        <v>74</v>
      </c>
      <c r="I14" t="s">
        <v>17</v>
      </c>
      <c r="J14" t="s">
        <v>25</v>
      </c>
    </row>
    <row r="15" spans="1:10">
      <c r="A15" s="1">
        <v>46212</v>
      </c>
      <c r="B15" t="s">
        <v>110</v>
      </c>
      <c r="C15">
        <v>2107536</v>
      </c>
      <c r="D15" t="s">
        <v>111</v>
      </c>
      <c r="E15" t="s">
        <v>85</v>
      </c>
      <c r="F15" s="1">
        <v>46242</v>
      </c>
      <c r="G15">
        <v>240</v>
      </c>
      <c r="H15" s="25">
        <v>240</v>
      </c>
      <c r="I15" t="s">
        <v>17</v>
      </c>
      <c r="J15" t="s">
        <v>25</v>
      </c>
    </row>
    <row r="16" spans="1:10">
      <c r="A16" s="1">
        <v>46212</v>
      </c>
      <c r="B16" t="s">
        <v>112</v>
      </c>
      <c r="C16">
        <v>2107410</v>
      </c>
      <c r="D16" t="s">
        <v>113</v>
      </c>
      <c r="E16" t="s">
        <v>85</v>
      </c>
      <c r="F16" s="1">
        <v>46242</v>
      </c>
      <c r="G16">
        <v>22</v>
      </c>
      <c r="H16" s="25">
        <v>22</v>
      </c>
      <c r="I16" t="s">
        <v>17</v>
      </c>
      <c r="J16" t="s">
        <v>25</v>
      </c>
    </row>
    <row r="17" spans="1:10">
      <c r="A17" s="1">
        <v>46212</v>
      </c>
      <c r="B17" t="s">
        <v>114</v>
      </c>
      <c r="C17">
        <v>2107410</v>
      </c>
      <c r="D17" t="s">
        <v>115</v>
      </c>
      <c r="E17" t="s">
        <v>85</v>
      </c>
      <c r="F17" s="1">
        <v>46242</v>
      </c>
      <c r="G17">
        <v>68</v>
      </c>
      <c r="H17" s="25">
        <v>68</v>
      </c>
      <c r="I17" t="s">
        <v>17</v>
      </c>
      <c r="J17" t="s">
        <v>25</v>
      </c>
    </row>
    <row r="18" spans="1:10">
      <c r="A18" s="1">
        <v>46212</v>
      </c>
      <c r="B18" t="s">
        <v>116</v>
      </c>
      <c r="C18">
        <v>2107536</v>
      </c>
      <c r="D18" t="s">
        <v>117</v>
      </c>
      <c r="E18" t="s">
        <v>85</v>
      </c>
      <c r="F18" s="1">
        <v>46242</v>
      </c>
      <c r="G18">
        <v>30</v>
      </c>
      <c r="H18" s="25">
        <v>30</v>
      </c>
      <c r="I18" t="s">
        <v>17</v>
      </c>
      <c r="J18" t="s">
        <v>25</v>
      </c>
    </row>
    <row r="19" spans="1:10">
      <c r="A19" s="1">
        <v>46216</v>
      </c>
      <c r="B19" t="s">
        <v>118</v>
      </c>
      <c r="C19">
        <v>2107509</v>
      </c>
      <c r="D19" t="s">
        <v>119</v>
      </c>
      <c r="E19" t="s">
        <v>85</v>
      </c>
      <c r="F19" s="1">
        <v>46246</v>
      </c>
      <c r="G19">
        <v>66</v>
      </c>
      <c r="H19" s="25">
        <v>66</v>
      </c>
      <c r="I19" t="s">
        <v>17</v>
      </c>
      <c r="J19" t="s">
        <v>25</v>
      </c>
    </row>
    <row r="20" spans="1:10">
      <c r="A20" s="1">
        <v>46217</v>
      </c>
      <c r="B20" t="s">
        <v>120</v>
      </c>
      <c r="C20">
        <v>2107528</v>
      </c>
      <c r="D20" t="s">
        <v>121</v>
      </c>
      <c r="E20" t="s">
        <v>85</v>
      </c>
      <c r="F20" s="1">
        <v>46247</v>
      </c>
      <c r="G20">
        <v>753</v>
      </c>
      <c r="H20" s="25">
        <v>753</v>
      </c>
      <c r="I20" t="s">
        <v>17</v>
      </c>
      <c r="J20" t="s">
        <v>25</v>
      </c>
    </row>
    <row r="21" spans="1:10">
      <c r="A21" s="1">
        <v>46217</v>
      </c>
      <c r="B21" t="s">
        <v>122</v>
      </c>
      <c r="C21">
        <v>2107510</v>
      </c>
      <c r="D21" t="s">
        <v>123</v>
      </c>
      <c r="E21" t="s">
        <v>85</v>
      </c>
      <c r="F21" s="1">
        <v>46247</v>
      </c>
      <c r="G21">
        <v>289</v>
      </c>
      <c r="H21" s="25">
        <v>289</v>
      </c>
      <c r="I21" t="s">
        <v>17</v>
      </c>
      <c r="J21" t="s">
        <v>25</v>
      </c>
    </row>
    <row r="22" spans="1:10">
      <c r="A22" s="1">
        <v>46217</v>
      </c>
      <c r="B22" t="s">
        <v>124</v>
      </c>
      <c r="C22">
        <v>2107528</v>
      </c>
      <c r="D22" t="s">
        <v>125</v>
      </c>
      <c r="E22" t="s">
        <v>85</v>
      </c>
      <c r="F22" s="1">
        <v>46247</v>
      </c>
      <c r="G22">
        <v>65</v>
      </c>
      <c r="H22" s="25">
        <v>65</v>
      </c>
      <c r="I22" t="s">
        <v>17</v>
      </c>
      <c r="J22" t="s">
        <v>25</v>
      </c>
    </row>
    <row r="23" spans="1:10">
      <c r="A23" s="1">
        <v>46217</v>
      </c>
      <c r="B23" t="s">
        <v>126</v>
      </c>
      <c r="C23">
        <v>2107528</v>
      </c>
      <c r="D23" t="s">
        <v>127</v>
      </c>
      <c r="E23" t="s">
        <v>85</v>
      </c>
      <c r="F23" s="1">
        <v>46247</v>
      </c>
      <c r="G23">
        <v>41</v>
      </c>
      <c r="H23" s="25">
        <v>41</v>
      </c>
      <c r="I23" t="s">
        <v>17</v>
      </c>
      <c r="J23" t="s">
        <v>25</v>
      </c>
    </row>
    <row r="24" spans="1:10">
      <c r="A24" s="1">
        <v>46217</v>
      </c>
      <c r="B24" t="s">
        <v>128</v>
      </c>
      <c r="C24">
        <v>2107528</v>
      </c>
      <c r="D24" t="s">
        <v>129</v>
      </c>
      <c r="E24" t="s">
        <v>85</v>
      </c>
      <c r="F24" s="1">
        <v>46247</v>
      </c>
      <c r="G24">
        <v>45</v>
      </c>
      <c r="H24" s="25">
        <v>45</v>
      </c>
      <c r="I24" t="s">
        <v>17</v>
      </c>
      <c r="J24" t="s">
        <v>25</v>
      </c>
    </row>
    <row r="25" spans="1:10">
      <c r="A25" s="1">
        <v>46217</v>
      </c>
      <c r="B25" t="s">
        <v>130</v>
      </c>
      <c r="C25">
        <v>2107510</v>
      </c>
      <c r="D25" t="s">
        <v>131</v>
      </c>
      <c r="E25" t="s">
        <v>85</v>
      </c>
      <c r="F25" s="1">
        <v>46247</v>
      </c>
      <c r="G25">
        <v>45</v>
      </c>
      <c r="H25" s="25">
        <v>45</v>
      </c>
      <c r="I25" t="s">
        <v>17</v>
      </c>
      <c r="J25" t="s">
        <v>25</v>
      </c>
    </row>
    <row r="26" spans="1:10">
      <c r="A26" s="1">
        <v>46217</v>
      </c>
      <c r="B26" t="s">
        <v>132</v>
      </c>
      <c r="C26">
        <v>2107510</v>
      </c>
      <c r="D26" t="s">
        <v>133</v>
      </c>
      <c r="E26" t="s">
        <v>85</v>
      </c>
      <c r="F26" s="1">
        <v>46247</v>
      </c>
      <c r="G26">
        <v>13</v>
      </c>
      <c r="H26" s="25">
        <v>13</v>
      </c>
      <c r="I26" t="s">
        <v>17</v>
      </c>
      <c r="J26" t="s">
        <v>25</v>
      </c>
    </row>
    <row r="27" spans="1:10">
      <c r="A27" s="1">
        <v>46218</v>
      </c>
      <c r="B27" t="s">
        <v>134</v>
      </c>
      <c r="C27">
        <v>2107555</v>
      </c>
      <c r="D27" t="s">
        <v>135</v>
      </c>
      <c r="E27" t="s">
        <v>85</v>
      </c>
      <c r="F27" s="1">
        <v>46248</v>
      </c>
      <c r="G27">
        <v>46</v>
      </c>
      <c r="H27" s="25">
        <v>46</v>
      </c>
      <c r="I27" t="s">
        <v>17</v>
      </c>
      <c r="J27" t="s">
        <v>25</v>
      </c>
    </row>
    <row r="28" spans="1:10">
      <c r="A28" s="1">
        <v>46218</v>
      </c>
      <c r="B28" t="s">
        <v>136</v>
      </c>
      <c r="C28">
        <v>2107498</v>
      </c>
      <c r="D28" t="s">
        <v>137</v>
      </c>
      <c r="E28" t="s">
        <v>85</v>
      </c>
      <c r="F28" s="1">
        <v>46248</v>
      </c>
      <c r="G28">
        <v>80</v>
      </c>
      <c r="H28" s="25">
        <v>80</v>
      </c>
      <c r="I28" t="s">
        <v>17</v>
      </c>
      <c r="J28" t="s">
        <v>25</v>
      </c>
    </row>
    <row r="29" spans="1:10">
      <c r="A29" s="1">
        <v>46218</v>
      </c>
      <c r="B29" t="s">
        <v>138</v>
      </c>
      <c r="C29">
        <v>2107555</v>
      </c>
      <c r="D29" t="s">
        <v>139</v>
      </c>
      <c r="E29" t="s">
        <v>85</v>
      </c>
      <c r="F29" s="1">
        <v>46248</v>
      </c>
      <c r="G29">
        <v>22</v>
      </c>
      <c r="H29" s="25">
        <v>22</v>
      </c>
      <c r="I29" t="s">
        <v>17</v>
      </c>
      <c r="J29" t="s">
        <v>25</v>
      </c>
    </row>
    <row r="30" spans="1:10">
      <c r="A30" s="1">
        <v>46219</v>
      </c>
      <c r="B30" t="s">
        <v>140</v>
      </c>
      <c r="C30">
        <v>2107570</v>
      </c>
      <c r="D30" t="s">
        <v>141</v>
      </c>
      <c r="E30" t="s">
        <v>85</v>
      </c>
      <c r="F30" s="1">
        <v>46249</v>
      </c>
      <c r="G30">
        <v>386</v>
      </c>
      <c r="H30" s="25">
        <v>386</v>
      </c>
      <c r="I30" t="s">
        <v>17</v>
      </c>
      <c r="J30" t="s">
        <v>25</v>
      </c>
    </row>
    <row r="31" spans="1:10">
      <c r="A31" s="1">
        <v>46219</v>
      </c>
      <c r="B31" t="s">
        <v>142</v>
      </c>
      <c r="C31">
        <v>2107486</v>
      </c>
      <c r="D31" t="s">
        <v>143</v>
      </c>
      <c r="E31" t="s">
        <v>85</v>
      </c>
      <c r="F31" s="1">
        <v>46249</v>
      </c>
      <c r="G31">
        <v>119</v>
      </c>
      <c r="H31" s="25">
        <v>119</v>
      </c>
      <c r="I31" t="s">
        <v>17</v>
      </c>
      <c r="J31" t="s">
        <v>25</v>
      </c>
    </row>
    <row r="32" spans="1:10">
      <c r="A32" s="1">
        <v>46219</v>
      </c>
      <c r="B32" t="s">
        <v>144</v>
      </c>
      <c r="C32">
        <v>2107570</v>
      </c>
      <c r="D32" t="s">
        <v>145</v>
      </c>
      <c r="E32" t="s">
        <v>85</v>
      </c>
      <c r="F32" s="1">
        <v>46249</v>
      </c>
      <c r="G32">
        <v>37</v>
      </c>
      <c r="H32" s="25">
        <v>37</v>
      </c>
      <c r="I32" t="s">
        <v>17</v>
      </c>
      <c r="J32" t="s">
        <v>25</v>
      </c>
    </row>
    <row r="33" spans="1:10">
      <c r="A33" s="1">
        <v>46219</v>
      </c>
      <c r="B33" t="s">
        <v>146</v>
      </c>
      <c r="C33">
        <v>2107570</v>
      </c>
      <c r="D33" t="s">
        <v>147</v>
      </c>
      <c r="E33" t="s">
        <v>85</v>
      </c>
      <c r="F33" s="1">
        <v>46249</v>
      </c>
      <c r="G33">
        <v>72</v>
      </c>
      <c r="H33" s="25">
        <v>72</v>
      </c>
      <c r="I33" t="s">
        <v>17</v>
      </c>
      <c r="J33" t="s">
        <v>25</v>
      </c>
    </row>
    <row r="34" spans="1:10">
      <c r="A34" s="1">
        <v>46219</v>
      </c>
      <c r="B34" t="s">
        <v>148</v>
      </c>
      <c r="C34">
        <v>2107570</v>
      </c>
      <c r="D34" t="s">
        <v>149</v>
      </c>
      <c r="E34" t="s">
        <v>85</v>
      </c>
      <c r="F34" s="1">
        <v>46249</v>
      </c>
      <c r="G34">
        <v>32</v>
      </c>
      <c r="H34" s="25"/>
      <c r="I34" t="s">
        <v>12</v>
      </c>
    </row>
    <row r="35" spans="1:10">
      <c r="A35" s="1">
        <v>46219</v>
      </c>
      <c r="B35" t="s">
        <v>150</v>
      </c>
      <c r="C35">
        <v>2107570</v>
      </c>
      <c r="D35" t="s">
        <v>151</v>
      </c>
      <c r="E35" t="s">
        <v>85</v>
      </c>
      <c r="F35" s="1">
        <v>46249</v>
      </c>
      <c r="G35">
        <v>67</v>
      </c>
      <c r="H35" s="25">
        <v>67</v>
      </c>
      <c r="I35" t="s">
        <v>17</v>
      </c>
      <c r="J35" t="s">
        <v>25</v>
      </c>
    </row>
    <row r="36" spans="1:10">
      <c r="A36" s="1">
        <v>46220</v>
      </c>
      <c r="B36" t="s">
        <v>152</v>
      </c>
      <c r="C36">
        <v>2107410</v>
      </c>
      <c r="D36" t="s">
        <v>153</v>
      </c>
      <c r="E36" t="s">
        <v>85</v>
      </c>
      <c r="F36" s="1">
        <v>46248</v>
      </c>
      <c r="G36">
        <v>-154</v>
      </c>
      <c r="H36" s="25"/>
      <c r="I36" t="s">
        <v>12</v>
      </c>
    </row>
    <row r="37" spans="1:10">
      <c r="A37" s="1">
        <v>46223</v>
      </c>
      <c r="B37" t="s">
        <v>154</v>
      </c>
      <c r="C37">
        <v>2107552</v>
      </c>
      <c r="D37" t="s">
        <v>155</v>
      </c>
      <c r="E37" t="s">
        <v>85</v>
      </c>
      <c r="F37" s="1">
        <v>46253</v>
      </c>
      <c r="G37">
        <v>176</v>
      </c>
      <c r="H37" s="25">
        <v>176</v>
      </c>
      <c r="I37" t="s">
        <v>17</v>
      </c>
      <c r="J37" t="s">
        <v>25</v>
      </c>
    </row>
    <row r="38" spans="1:10">
      <c r="A38" s="1">
        <v>46223</v>
      </c>
      <c r="B38" t="s">
        <v>156</v>
      </c>
      <c r="C38">
        <v>2107570</v>
      </c>
      <c r="D38" t="s">
        <v>157</v>
      </c>
      <c r="E38" t="s">
        <v>85</v>
      </c>
      <c r="F38" s="1">
        <v>46253</v>
      </c>
      <c r="G38">
        <v>233</v>
      </c>
      <c r="H38" s="25">
        <v>233</v>
      </c>
      <c r="I38" t="s">
        <v>17</v>
      </c>
      <c r="J38" t="s">
        <v>25</v>
      </c>
    </row>
    <row r="39" spans="1:10">
      <c r="A39" s="1">
        <v>46223</v>
      </c>
      <c r="B39" t="s">
        <v>158</v>
      </c>
      <c r="C39">
        <v>2107537</v>
      </c>
      <c r="D39" t="s">
        <v>159</v>
      </c>
      <c r="E39" t="s">
        <v>85</v>
      </c>
      <c r="F39" s="1">
        <v>46253</v>
      </c>
      <c r="G39">
        <v>6</v>
      </c>
      <c r="H39" s="25">
        <v>6</v>
      </c>
      <c r="I39" t="s">
        <v>17</v>
      </c>
      <c r="J39" t="s">
        <v>25</v>
      </c>
    </row>
    <row r="40" spans="1:10">
      <c r="A40" s="1">
        <v>46223</v>
      </c>
      <c r="B40" t="s">
        <v>160</v>
      </c>
      <c r="C40">
        <v>2107515</v>
      </c>
      <c r="D40" t="s">
        <v>161</v>
      </c>
      <c r="E40" t="s">
        <v>85</v>
      </c>
      <c r="F40" s="1">
        <v>46253</v>
      </c>
      <c r="G40">
        <v>78</v>
      </c>
      <c r="H40" s="25">
        <v>78</v>
      </c>
      <c r="I40" t="s">
        <v>17</v>
      </c>
      <c r="J40" t="s">
        <v>25</v>
      </c>
    </row>
    <row r="41" spans="1:10">
      <c r="A41" s="1">
        <v>46224</v>
      </c>
      <c r="B41" t="s">
        <v>162</v>
      </c>
      <c r="C41">
        <v>2107573</v>
      </c>
      <c r="D41" t="s">
        <v>163</v>
      </c>
      <c r="E41" t="s">
        <v>85</v>
      </c>
      <c r="F41" s="1">
        <v>46254</v>
      </c>
      <c r="G41">
        <v>101</v>
      </c>
      <c r="H41" s="25">
        <v>101</v>
      </c>
      <c r="I41" t="s">
        <v>17</v>
      </c>
      <c r="J41" t="s">
        <v>25</v>
      </c>
    </row>
    <row r="42" spans="1:10">
      <c r="A42" s="1">
        <v>46225</v>
      </c>
      <c r="B42" t="s">
        <v>164</v>
      </c>
      <c r="C42">
        <v>2107588</v>
      </c>
      <c r="D42" t="s">
        <v>165</v>
      </c>
      <c r="E42" t="s">
        <v>85</v>
      </c>
      <c r="F42" s="1">
        <v>46255</v>
      </c>
      <c r="G42">
        <v>97</v>
      </c>
      <c r="H42" s="25">
        <v>97</v>
      </c>
      <c r="I42" t="s">
        <v>17</v>
      </c>
      <c r="J42" t="s">
        <v>25</v>
      </c>
    </row>
    <row r="43" spans="1:10">
      <c r="A43" s="1">
        <v>46226</v>
      </c>
      <c r="B43" t="s">
        <v>166</v>
      </c>
      <c r="C43">
        <v>2107537</v>
      </c>
      <c r="D43" t="s">
        <v>167</v>
      </c>
      <c r="E43" t="s">
        <v>85</v>
      </c>
      <c r="F43" s="1">
        <v>46256</v>
      </c>
      <c r="G43">
        <v>38</v>
      </c>
      <c r="H43" s="25">
        <v>38</v>
      </c>
      <c r="I43" t="s">
        <v>17</v>
      </c>
      <c r="J43" t="s">
        <v>25</v>
      </c>
    </row>
    <row r="44" spans="1:10">
      <c r="A44" s="1">
        <v>46230</v>
      </c>
      <c r="B44" t="s">
        <v>168</v>
      </c>
      <c r="C44">
        <v>2107543</v>
      </c>
      <c r="D44" t="s">
        <v>169</v>
      </c>
      <c r="E44" t="s">
        <v>85</v>
      </c>
      <c r="F44" s="1">
        <v>46260</v>
      </c>
      <c r="G44">
        <v>66</v>
      </c>
      <c r="H44" s="25">
        <v>66</v>
      </c>
      <c r="I44" t="s">
        <v>17</v>
      </c>
      <c r="J44" t="s">
        <v>25</v>
      </c>
    </row>
    <row r="45" spans="1:10">
      <c r="A45" s="1">
        <v>46231</v>
      </c>
      <c r="B45" t="s">
        <v>170</v>
      </c>
      <c r="C45">
        <v>2107582</v>
      </c>
      <c r="D45" t="s">
        <v>171</v>
      </c>
      <c r="E45" t="s">
        <v>85</v>
      </c>
      <c r="F45" s="1">
        <v>46261</v>
      </c>
      <c r="G45">
        <v>41</v>
      </c>
      <c r="H45" s="25">
        <v>41</v>
      </c>
      <c r="I45" t="s">
        <v>17</v>
      </c>
      <c r="J45" t="s">
        <v>25</v>
      </c>
    </row>
    <row r="46" spans="1:10">
      <c r="A46" s="1">
        <v>46232</v>
      </c>
      <c r="B46" t="s">
        <v>172</v>
      </c>
      <c r="C46">
        <v>2107422</v>
      </c>
      <c r="D46" t="s">
        <v>173</v>
      </c>
      <c r="E46" t="s">
        <v>85</v>
      </c>
      <c r="F46" s="1">
        <v>46260</v>
      </c>
      <c r="G46">
        <v>-83</v>
      </c>
      <c r="H46" s="25"/>
      <c r="I46" t="s">
        <v>12</v>
      </c>
    </row>
    <row r="47" spans="1:10">
      <c r="A47" s="1">
        <v>46232</v>
      </c>
      <c r="B47" t="s">
        <v>174</v>
      </c>
      <c r="C47">
        <v>2107543</v>
      </c>
      <c r="D47" t="s">
        <v>175</v>
      </c>
      <c r="E47" t="s">
        <v>85</v>
      </c>
      <c r="F47" s="1">
        <v>46262</v>
      </c>
      <c r="G47">
        <v>66</v>
      </c>
      <c r="H47" s="25"/>
      <c r="I47" t="s">
        <v>12</v>
      </c>
    </row>
  </sheetData>
  <autoFilter ref="A1:J47" xr:uid="{00000000-0009-0000-0000-000000000000}"/>
  <conditionalFormatting sqref="I2:I47">
    <cfRule type="cellIs" dxfId="8" priority="3" operator="equal">
      <formula>"Match"</formula>
    </cfRule>
    <cfRule type="cellIs" dxfId="7" priority="4" operator="equal">
      <formula>"Amount Mismatch"</formula>
    </cfRule>
    <cfRule type="cellIs" dxfId="6" priority="5" operator="equal">
      <formula>"Invoice Not Present"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C17" sqref="C17"/>
    </sheetView>
  </sheetViews>
  <sheetFormatPr defaultRowHeight="14.5"/>
  <cols>
    <col min="1" max="1" width="26" customWidth="1"/>
    <col min="2" max="2" width="56.54296875" customWidth="1"/>
  </cols>
  <sheetData>
    <row r="1" spans="1:2" ht="16.5" customHeight="1">
      <c r="A1" s="26" t="s">
        <v>176</v>
      </c>
      <c r="B1" s="27"/>
    </row>
    <row r="3" spans="1:2">
      <c r="A3" s="2" t="s">
        <v>177</v>
      </c>
      <c r="B3" s="2" t="s">
        <v>178</v>
      </c>
    </row>
    <row r="4" spans="1:2">
      <c r="A4" s="3" t="s">
        <v>17</v>
      </c>
      <c r="B4" s="4">
        <f>COUNTIF(ksi_hew!$I$2:$I$47,$A4)</f>
        <v>40</v>
      </c>
    </row>
    <row r="5" spans="1:2">
      <c r="A5" s="5" t="s">
        <v>12</v>
      </c>
      <c r="B5" s="4">
        <f>COUNTIF(ksi_hew!$I$2:$I$47,$A5)</f>
        <v>6</v>
      </c>
    </row>
    <row r="6" spans="1:2">
      <c r="A6" s="6" t="s">
        <v>179</v>
      </c>
      <c r="B6" s="6">
        <f>SUM(B4:B5)</f>
        <v>46</v>
      </c>
    </row>
    <row r="9" spans="1:2">
      <c r="A9" s="7" t="s">
        <v>180</v>
      </c>
    </row>
    <row r="10" spans="1:2">
      <c r="A10" s="8" t="s">
        <v>181</v>
      </c>
      <c r="B10" s="9" t="s">
        <v>182</v>
      </c>
    </row>
    <row r="12" spans="1:2">
      <c r="A12" s="10" t="s">
        <v>183</v>
      </c>
      <c r="B12" s="9" t="s">
        <v>184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workbookViewId="0">
      <selection activeCell="J1" sqref="J1:J1048576"/>
    </sheetView>
  </sheetViews>
  <sheetFormatPr defaultRowHeight="14.5"/>
  <cols>
    <col min="1" max="1" width="42.26953125" bestFit="1" customWidth="1"/>
    <col min="2" max="2" width="10.90625" bestFit="1" customWidth="1"/>
    <col min="3" max="3" width="13.6328125" bestFit="1" customWidth="1"/>
    <col min="4" max="4" width="12.08984375" bestFit="1" customWidth="1"/>
    <col min="5" max="5" width="11.54296875" bestFit="1" customWidth="1"/>
    <col min="6" max="6" width="11.26953125" bestFit="1" customWidth="1"/>
    <col min="7" max="7" width="9.54296875" bestFit="1" customWidth="1"/>
    <col min="8" max="8" width="15.26953125" customWidth="1"/>
    <col min="9" max="9" width="22.179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s="1">
        <v>46084</v>
      </c>
      <c r="D2" t="s">
        <v>11</v>
      </c>
      <c r="E2">
        <v>-64.17</v>
      </c>
      <c r="G2">
        <v>-64.17</v>
      </c>
      <c r="H2" s="25"/>
      <c r="I2" t="s">
        <v>12</v>
      </c>
    </row>
    <row r="3" spans="1:10">
      <c r="A3" t="s">
        <v>10</v>
      </c>
      <c r="B3">
        <v>2</v>
      </c>
      <c r="C3" s="1">
        <v>46090</v>
      </c>
      <c r="D3" t="s">
        <v>13</v>
      </c>
      <c r="E3">
        <v>64.17</v>
      </c>
      <c r="G3">
        <v>64.17</v>
      </c>
      <c r="H3" s="25"/>
      <c r="I3" t="s">
        <v>12</v>
      </c>
    </row>
    <row r="4" spans="1:10">
      <c r="A4" t="s">
        <v>14</v>
      </c>
      <c r="B4">
        <v>1</v>
      </c>
      <c r="C4" s="1">
        <v>45971</v>
      </c>
      <c r="D4" t="s">
        <v>15</v>
      </c>
      <c r="E4">
        <v>-24.88</v>
      </c>
      <c r="G4">
        <v>-24.88</v>
      </c>
      <c r="H4" s="25"/>
      <c r="I4" t="s">
        <v>12</v>
      </c>
    </row>
    <row r="5" spans="1:10">
      <c r="A5" t="s">
        <v>14</v>
      </c>
      <c r="B5">
        <v>2</v>
      </c>
      <c r="C5" s="1">
        <v>45971</v>
      </c>
      <c r="D5" t="s">
        <v>16</v>
      </c>
      <c r="E5">
        <v>24.88</v>
      </c>
      <c r="G5">
        <v>24.88</v>
      </c>
      <c r="H5" s="25">
        <v>24.88</v>
      </c>
      <c r="I5" t="s">
        <v>17</v>
      </c>
      <c r="J5" t="s">
        <v>18</v>
      </c>
    </row>
    <row r="6" spans="1:10">
      <c r="A6" t="s">
        <v>14</v>
      </c>
      <c r="B6">
        <v>3</v>
      </c>
      <c r="C6" s="1">
        <v>45999</v>
      </c>
      <c r="D6" t="s">
        <v>19</v>
      </c>
      <c r="E6">
        <v>-96.95</v>
      </c>
      <c r="G6">
        <v>-96.95</v>
      </c>
      <c r="H6" s="25"/>
      <c r="I6" t="s">
        <v>12</v>
      </c>
    </row>
    <row r="7" spans="1:10">
      <c r="A7" t="s">
        <v>14</v>
      </c>
      <c r="B7">
        <v>4</v>
      </c>
      <c r="C7" s="1">
        <v>46001</v>
      </c>
      <c r="D7" t="s">
        <v>20</v>
      </c>
      <c r="E7">
        <v>96.95</v>
      </c>
      <c r="G7">
        <v>96.95</v>
      </c>
      <c r="H7" s="25">
        <v>96.95</v>
      </c>
      <c r="I7" t="s">
        <v>17</v>
      </c>
      <c r="J7" t="s">
        <v>18</v>
      </c>
    </row>
    <row r="8" spans="1:10">
      <c r="A8" t="s">
        <v>14</v>
      </c>
      <c r="B8">
        <v>5</v>
      </c>
      <c r="C8" s="1">
        <v>46094</v>
      </c>
      <c r="D8" t="s">
        <v>21</v>
      </c>
      <c r="E8">
        <v>361.96</v>
      </c>
      <c r="G8">
        <v>361.96</v>
      </c>
      <c r="H8" s="25"/>
      <c r="I8" t="s">
        <v>12</v>
      </c>
    </row>
    <row r="9" spans="1:10">
      <c r="A9" t="s">
        <v>14</v>
      </c>
      <c r="B9">
        <v>6</v>
      </c>
      <c r="C9" s="1">
        <v>46097</v>
      </c>
      <c r="D9" t="s">
        <v>22</v>
      </c>
      <c r="E9">
        <v>-361.96</v>
      </c>
      <c r="G9">
        <v>-361.96</v>
      </c>
      <c r="H9" s="25"/>
      <c r="I9" t="s">
        <v>12</v>
      </c>
    </row>
    <row r="10" spans="1:10">
      <c r="A10" t="s">
        <v>14</v>
      </c>
      <c r="B10">
        <v>7</v>
      </c>
      <c r="C10" s="1">
        <v>46204</v>
      </c>
      <c r="D10" t="s">
        <v>23</v>
      </c>
      <c r="E10">
        <v>-431.05</v>
      </c>
      <c r="G10">
        <v>-431.05</v>
      </c>
      <c r="H10" s="25"/>
      <c r="I10" t="s">
        <v>12</v>
      </c>
    </row>
    <row r="11" spans="1:10">
      <c r="A11" t="s">
        <v>14</v>
      </c>
      <c r="B11">
        <v>8</v>
      </c>
      <c r="C11" s="1">
        <v>46204</v>
      </c>
      <c r="D11" t="s">
        <v>24</v>
      </c>
      <c r="E11">
        <v>683.82</v>
      </c>
      <c r="G11">
        <v>683.82</v>
      </c>
      <c r="H11" s="25">
        <v>683.82</v>
      </c>
      <c r="I11" t="s">
        <v>17</v>
      </c>
      <c r="J11" t="s">
        <v>25</v>
      </c>
    </row>
    <row r="12" spans="1:10">
      <c r="A12" t="s">
        <v>14</v>
      </c>
      <c r="B12">
        <v>9</v>
      </c>
      <c r="C12" s="1">
        <v>46204</v>
      </c>
      <c r="D12" t="s">
        <v>26</v>
      </c>
      <c r="E12">
        <v>569.77</v>
      </c>
      <c r="G12">
        <v>569.77</v>
      </c>
      <c r="H12" s="25">
        <v>569.77</v>
      </c>
      <c r="I12" t="s">
        <v>17</v>
      </c>
      <c r="J12" t="s">
        <v>25</v>
      </c>
    </row>
    <row r="13" spans="1:10">
      <c r="A13" t="s">
        <v>14</v>
      </c>
      <c r="B13">
        <v>10</v>
      </c>
      <c r="C13" s="1">
        <v>46204</v>
      </c>
      <c r="D13" t="s">
        <v>27</v>
      </c>
      <c r="E13">
        <v>0.5</v>
      </c>
      <c r="G13">
        <v>0.5</v>
      </c>
      <c r="H13" s="25">
        <v>0.5</v>
      </c>
      <c r="I13" t="s">
        <v>17</v>
      </c>
      <c r="J13" t="s">
        <v>25</v>
      </c>
    </row>
    <row r="14" spans="1:10">
      <c r="A14" t="s">
        <v>14</v>
      </c>
      <c r="B14">
        <v>11</v>
      </c>
      <c r="C14" s="1">
        <v>46205</v>
      </c>
      <c r="D14" t="s">
        <v>28</v>
      </c>
      <c r="E14">
        <v>1439.43</v>
      </c>
      <c r="G14">
        <v>1439.43</v>
      </c>
      <c r="H14" s="25">
        <v>1439.43</v>
      </c>
      <c r="I14" t="s">
        <v>17</v>
      </c>
      <c r="J14" t="s">
        <v>25</v>
      </c>
    </row>
    <row r="15" spans="1:10">
      <c r="A15" t="s">
        <v>14</v>
      </c>
      <c r="B15">
        <v>12</v>
      </c>
      <c r="C15" s="1">
        <v>46205</v>
      </c>
      <c r="D15" t="s">
        <v>29</v>
      </c>
      <c r="E15">
        <v>7.27</v>
      </c>
      <c r="G15">
        <v>7.27</v>
      </c>
      <c r="H15" s="25">
        <v>7.27</v>
      </c>
      <c r="I15" t="s">
        <v>17</v>
      </c>
      <c r="J15" t="s">
        <v>25</v>
      </c>
    </row>
    <row r="16" spans="1:10">
      <c r="A16" t="s">
        <v>14</v>
      </c>
      <c r="B16">
        <v>13</v>
      </c>
      <c r="C16" s="1">
        <v>46209</v>
      </c>
      <c r="D16" t="s">
        <v>30</v>
      </c>
      <c r="E16">
        <v>727.36</v>
      </c>
      <c r="G16">
        <v>727.36</v>
      </c>
      <c r="H16" s="25">
        <v>727.36</v>
      </c>
      <c r="I16" t="s">
        <v>17</v>
      </c>
      <c r="J16" t="s">
        <v>25</v>
      </c>
    </row>
    <row r="17" spans="1:10">
      <c r="A17" t="s">
        <v>14</v>
      </c>
      <c r="B17">
        <v>14</v>
      </c>
      <c r="C17" s="1">
        <v>46211</v>
      </c>
      <c r="D17" t="s">
        <v>31</v>
      </c>
      <c r="E17">
        <v>254.17</v>
      </c>
      <c r="G17">
        <v>254.17</v>
      </c>
      <c r="H17" s="25">
        <v>254.17</v>
      </c>
      <c r="I17" t="s">
        <v>17</v>
      </c>
      <c r="J17" t="s">
        <v>25</v>
      </c>
    </row>
    <row r="18" spans="1:10">
      <c r="A18" t="s">
        <v>14</v>
      </c>
      <c r="B18">
        <v>15</v>
      </c>
      <c r="C18" s="1">
        <v>46211</v>
      </c>
      <c r="D18" t="s">
        <v>32</v>
      </c>
      <c r="E18">
        <v>254.17</v>
      </c>
      <c r="G18">
        <v>254.17</v>
      </c>
      <c r="H18" s="25">
        <v>254.17</v>
      </c>
      <c r="I18" t="s">
        <v>17</v>
      </c>
      <c r="J18" t="s">
        <v>25</v>
      </c>
    </row>
    <row r="19" spans="1:10">
      <c r="A19" t="s">
        <v>14</v>
      </c>
      <c r="B19">
        <v>16</v>
      </c>
      <c r="C19" s="1">
        <v>46212</v>
      </c>
      <c r="D19" t="s">
        <v>33</v>
      </c>
      <c r="E19">
        <v>153.88999999999999</v>
      </c>
      <c r="G19">
        <v>153.88999999999999</v>
      </c>
      <c r="H19" s="25"/>
      <c r="I19" t="s">
        <v>12</v>
      </c>
    </row>
    <row r="20" spans="1:10">
      <c r="A20" t="s">
        <v>14</v>
      </c>
      <c r="B20">
        <v>17</v>
      </c>
      <c r="C20" s="1">
        <v>46212</v>
      </c>
      <c r="D20" t="s">
        <v>34</v>
      </c>
      <c r="E20">
        <v>98.04</v>
      </c>
      <c r="G20">
        <v>98.04</v>
      </c>
      <c r="H20" s="25">
        <v>98.04</v>
      </c>
      <c r="I20" t="s">
        <v>17</v>
      </c>
      <c r="J20" t="s">
        <v>25</v>
      </c>
    </row>
    <row r="21" spans="1:10">
      <c r="A21" t="s">
        <v>14</v>
      </c>
      <c r="B21">
        <v>18</v>
      </c>
      <c r="C21" s="1">
        <v>46212</v>
      </c>
      <c r="D21" t="s">
        <v>35</v>
      </c>
      <c r="E21">
        <v>1049.3399999999999</v>
      </c>
      <c r="G21">
        <v>1049.3399999999999</v>
      </c>
      <c r="H21" s="25">
        <v>1049.3399999999999</v>
      </c>
      <c r="I21" t="s">
        <v>17</v>
      </c>
      <c r="J21" t="s">
        <v>25</v>
      </c>
    </row>
    <row r="22" spans="1:10">
      <c r="A22" t="s">
        <v>14</v>
      </c>
      <c r="B22">
        <v>19</v>
      </c>
      <c r="C22" s="1">
        <v>46212</v>
      </c>
      <c r="D22" t="s">
        <v>36</v>
      </c>
      <c r="E22">
        <v>499.02</v>
      </c>
      <c r="G22">
        <v>499.02</v>
      </c>
      <c r="H22" s="25">
        <v>499.02</v>
      </c>
      <c r="I22" t="s">
        <v>17</v>
      </c>
      <c r="J22" t="s">
        <v>25</v>
      </c>
    </row>
    <row r="23" spans="1:10">
      <c r="A23" t="s">
        <v>14</v>
      </c>
      <c r="B23">
        <v>20</v>
      </c>
      <c r="C23" s="1">
        <v>46212</v>
      </c>
      <c r="D23" t="s">
        <v>37</v>
      </c>
      <c r="E23">
        <v>273.44</v>
      </c>
      <c r="G23">
        <v>273.44</v>
      </c>
      <c r="H23" s="25">
        <v>273.44</v>
      </c>
      <c r="I23" t="s">
        <v>17</v>
      </c>
      <c r="J23" t="s">
        <v>25</v>
      </c>
    </row>
    <row r="24" spans="1:10">
      <c r="A24" t="s">
        <v>14</v>
      </c>
      <c r="B24">
        <v>21</v>
      </c>
      <c r="C24" s="1">
        <v>46212</v>
      </c>
      <c r="D24" t="s">
        <v>38</v>
      </c>
      <c r="E24">
        <v>189.29</v>
      </c>
      <c r="G24">
        <v>189.29</v>
      </c>
      <c r="H24" s="25">
        <v>189.29</v>
      </c>
      <c r="I24" t="s">
        <v>17</v>
      </c>
      <c r="J24" t="s">
        <v>25</v>
      </c>
    </row>
    <row r="25" spans="1:10">
      <c r="A25" t="s">
        <v>14</v>
      </c>
      <c r="B25">
        <v>22</v>
      </c>
      <c r="C25" s="1">
        <v>46212</v>
      </c>
      <c r="D25" t="s">
        <v>39</v>
      </c>
      <c r="E25">
        <v>49.51</v>
      </c>
      <c r="G25">
        <v>49.51</v>
      </c>
      <c r="H25" s="25">
        <v>49.51</v>
      </c>
      <c r="I25" t="s">
        <v>17</v>
      </c>
      <c r="J25" t="s">
        <v>25</v>
      </c>
    </row>
    <row r="26" spans="1:10">
      <c r="A26" t="s">
        <v>14</v>
      </c>
      <c r="B26">
        <v>23</v>
      </c>
      <c r="C26" s="1">
        <v>46216</v>
      </c>
      <c r="D26" t="s">
        <v>40</v>
      </c>
      <c r="E26">
        <v>223.42</v>
      </c>
      <c r="G26">
        <v>223.42</v>
      </c>
      <c r="H26" s="25">
        <v>465.03</v>
      </c>
      <c r="I26" t="s">
        <v>41</v>
      </c>
      <c r="J26" t="s">
        <v>42</v>
      </c>
    </row>
    <row r="27" spans="1:10">
      <c r="A27" t="s">
        <v>14</v>
      </c>
      <c r="B27">
        <v>24</v>
      </c>
      <c r="C27" s="1">
        <v>46217</v>
      </c>
      <c r="D27" t="s">
        <v>43</v>
      </c>
      <c r="E27">
        <v>63.93</v>
      </c>
      <c r="G27">
        <v>63.93</v>
      </c>
      <c r="H27" s="25">
        <v>63.93</v>
      </c>
      <c r="I27" t="s">
        <v>17</v>
      </c>
      <c r="J27" t="s">
        <v>25</v>
      </c>
    </row>
    <row r="28" spans="1:10">
      <c r="A28" t="s">
        <v>14</v>
      </c>
      <c r="B28">
        <v>25</v>
      </c>
      <c r="C28" s="1">
        <v>46217</v>
      </c>
      <c r="D28" t="s">
        <v>44</v>
      </c>
      <c r="E28">
        <v>137.38999999999999</v>
      </c>
      <c r="G28">
        <v>137.38999999999999</v>
      </c>
      <c r="H28" s="25">
        <v>137.38999999999999</v>
      </c>
      <c r="I28" t="s">
        <v>17</v>
      </c>
      <c r="J28" t="s">
        <v>25</v>
      </c>
    </row>
    <row r="29" spans="1:10">
      <c r="A29" t="s">
        <v>14</v>
      </c>
      <c r="B29">
        <v>26</v>
      </c>
      <c r="C29" s="1">
        <v>46217</v>
      </c>
      <c r="D29" t="s">
        <v>45</v>
      </c>
      <c r="E29">
        <v>53.51</v>
      </c>
      <c r="G29">
        <v>53.51</v>
      </c>
      <c r="H29" s="25">
        <v>53.51</v>
      </c>
      <c r="I29" t="s">
        <v>17</v>
      </c>
      <c r="J29" t="s">
        <v>25</v>
      </c>
    </row>
    <row r="30" spans="1:10">
      <c r="A30" t="s">
        <v>14</v>
      </c>
      <c r="B30">
        <v>27</v>
      </c>
      <c r="C30" s="1">
        <v>46218</v>
      </c>
      <c r="D30" t="s">
        <v>46</v>
      </c>
      <c r="E30">
        <v>209.19</v>
      </c>
      <c r="G30">
        <v>209.19</v>
      </c>
      <c r="H30" s="25">
        <v>209.19</v>
      </c>
      <c r="I30" t="s">
        <v>17</v>
      </c>
      <c r="J30" t="s">
        <v>25</v>
      </c>
    </row>
    <row r="31" spans="1:10">
      <c r="A31" t="s">
        <v>14</v>
      </c>
      <c r="B31">
        <v>28</v>
      </c>
      <c r="C31" s="1">
        <v>46218</v>
      </c>
      <c r="D31" t="s">
        <v>47</v>
      </c>
      <c r="E31">
        <v>4.0999999999999996</v>
      </c>
      <c r="G31">
        <v>4.0999999999999996</v>
      </c>
      <c r="H31" s="25">
        <v>4.0999999999999996</v>
      </c>
      <c r="I31" t="s">
        <v>17</v>
      </c>
      <c r="J31" t="s">
        <v>25</v>
      </c>
    </row>
    <row r="32" spans="1:10">
      <c r="A32" t="s">
        <v>14</v>
      </c>
      <c r="B32">
        <v>29</v>
      </c>
      <c r="C32" s="1">
        <v>46220</v>
      </c>
      <c r="D32" t="s">
        <v>48</v>
      </c>
      <c r="E32">
        <v>38.909999999999997</v>
      </c>
      <c r="G32">
        <v>38.909999999999997</v>
      </c>
      <c r="H32" s="25">
        <v>38.909999999999997</v>
      </c>
      <c r="I32" t="s">
        <v>17</v>
      </c>
      <c r="J32" t="s">
        <v>25</v>
      </c>
    </row>
    <row r="33" spans="1:10">
      <c r="A33" t="s">
        <v>14</v>
      </c>
      <c r="B33">
        <v>30</v>
      </c>
      <c r="C33" s="1">
        <v>46220</v>
      </c>
      <c r="D33" t="s">
        <v>49</v>
      </c>
      <c r="E33">
        <v>294.33999999999997</v>
      </c>
      <c r="G33">
        <v>294.33999999999997</v>
      </c>
      <c r="H33" s="25">
        <v>294.33999999999997</v>
      </c>
      <c r="I33" t="s">
        <v>17</v>
      </c>
      <c r="J33" t="s">
        <v>25</v>
      </c>
    </row>
    <row r="34" spans="1:10">
      <c r="A34" t="s">
        <v>14</v>
      </c>
      <c r="B34">
        <v>31</v>
      </c>
      <c r="C34" s="1">
        <v>46220</v>
      </c>
      <c r="D34" t="s">
        <v>50</v>
      </c>
      <c r="E34">
        <v>536.04</v>
      </c>
      <c r="G34">
        <v>536.04</v>
      </c>
      <c r="H34" s="25">
        <v>536.04</v>
      </c>
      <c r="I34" t="s">
        <v>17</v>
      </c>
      <c r="J34" t="s">
        <v>25</v>
      </c>
    </row>
    <row r="35" spans="1:10">
      <c r="A35" t="s">
        <v>14</v>
      </c>
      <c r="B35">
        <v>32</v>
      </c>
      <c r="C35" s="1">
        <v>46225</v>
      </c>
      <c r="D35" t="s">
        <v>51</v>
      </c>
      <c r="E35">
        <v>495.9</v>
      </c>
      <c r="G35">
        <v>495.9</v>
      </c>
      <c r="H35" s="25">
        <v>495.9</v>
      </c>
      <c r="I35" t="s">
        <v>17</v>
      </c>
      <c r="J35" t="s">
        <v>25</v>
      </c>
    </row>
    <row r="36" spans="1:10">
      <c r="A36" t="s">
        <v>14</v>
      </c>
      <c r="B36">
        <v>33</v>
      </c>
      <c r="C36" s="1">
        <v>46225</v>
      </c>
      <c r="D36" t="s">
        <v>52</v>
      </c>
      <c r="E36">
        <v>810.26</v>
      </c>
      <c r="G36">
        <v>810.26</v>
      </c>
      <c r="H36" s="25">
        <v>810.26</v>
      </c>
      <c r="I36" t="s">
        <v>17</v>
      </c>
      <c r="J36" t="s">
        <v>25</v>
      </c>
    </row>
    <row r="37" spans="1:10">
      <c r="A37" t="s">
        <v>14</v>
      </c>
      <c r="B37">
        <v>34</v>
      </c>
      <c r="C37" s="1">
        <v>46225</v>
      </c>
      <c r="D37" t="s">
        <v>53</v>
      </c>
      <c r="E37">
        <v>302.52</v>
      </c>
      <c r="G37">
        <v>302.52</v>
      </c>
      <c r="H37" s="25">
        <v>302.52</v>
      </c>
      <c r="I37" t="s">
        <v>17</v>
      </c>
      <c r="J37" t="s">
        <v>25</v>
      </c>
    </row>
    <row r="38" spans="1:10">
      <c r="A38" t="s">
        <v>14</v>
      </c>
      <c r="B38">
        <v>35</v>
      </c>
      <c r="C38" s="1">
        <v>46227</v>
      </c>
      <c r="D38" t="s">
        <v>54</v>
      </c>
      <c r="E38">
        <v>35.42</v>
      </c>
      <c r="G38">
        <v>35.42</v>
      </c>
      <c r="H38" s="25">
        <v>35.92</v>
      </c>
      <c r="I38" t="s">
        <v>41</v>
      </c>
      <c r="J38" t="s">
        <v>25</v>
      </c>
    </row>
    <row r="39" spans="1:10">
      <c r="A39" t="s">
        <v>14</v>
      </c>
      <c r="B39">
        <v>36</v>
      </c>
      <c r="C39" s="1">
        <v>46227</v>
      </c>
      <c r="D39" t="s">
        <v>55</v>
      </c>
      <c r="E39">
        <v>2735.26</v>
      </c>
      <c r="G39">
        <v>2735.26</v>
      </c>
      <c r="H39" s="25">
        <v>2735.26</v>
      </c>
      <c r="I39" t="s">
        <v>17</v>
      </c>
      <c r="J39" t="s">
        <v>25</v>
      </c>
    </row>
    <row r="40" spans="1:10">
      <c r="A40" t="s">
        <v>14</v>
      </c>
      <c r="B40">
        <v>37</v>
      </c>
      <c r="C40" s="1">
        <v>46227</v>
      </c>
      <c r="D40" t="s">
        <v>56</v>
      </c>
      <c r="E40">
        <v>1291.4100000000001</v>
      </c>
      <c r="G40">
        <v>1291.4100000000001</v>
      </c>
      <c r="H40" s="25">
        <v>1291.4100000000001</v>
      </c>
      <c r="I40" t="s">
        <v>17</v>
      </c>
      <c r="J40" t="s">
        <v>25</v>
      </c>
    </row>
    <row r="41" spans="1:10">
      <c r="A41" t="s">
        <v>14</v>
      </c>
      <c r="B41">
        <v>38</v>
      </c>
      <c r="C41" s="1">
        <v>46231</v>
      </c>
      <c r="D41" t="s">
        <v>57</v>
      </c>
      <c r="E41">
        <v>-302.52</v>
      </c>
      <c r="G41">
        <v>-302.52</v>
      </c>
      <c r="H41" s="25"/>
      <c r="I41" t="s">
        <v>12</v>
      </c>
    </row>
    <row r="42" spans="1:10">
      <c r="A42" t="s">
        <v>14</v>
      </c>
      <c r="B42">
        <v>39</v>
      </c>
      <c r="C42" s="1">
        <v>46231</v>
      </c>
      <c r="D42" t="s">
        <v>58</v>
      </c>
      <c r="E42">
        <v>29.15</v>
      </c>
      <c r="G42">
        <v>29.15</v>
      </c>
      <c r="H42" s="25">
        <v>29.15</v>
      </c>
      <c r="I42" t="s">
        <v>17</v>
      </c>
      <c r="J42" t="s">
        <v>25</v>
      </c>
    </row>
    <row r="43" spans="1:10">
      <c r="A43" t="s">
        <v>14</v>
      </c>
      <c r="B43">
        <v>40</v>
      </c>
      <c r="C43" s="1">
        <v>46231</v>
      </c>
      <c r="D43" t="s">
        <v>59</v>
      </c>
      <c r="E43">
        <v>49.8</v>
      </c>
      <c r="G43">
        <v>49.8</v>
      </c>
      <c r="H43" s="25">
        <v>49.8</v>
      </c>
      <c r="I43" t="s">
        <v>17</v>
      </c>
      <c r="J43" t="s">
        <v>25</v>
      </c>
    </row>
    <row r="44" spans="1:10">
      <c r="A44" t="s">
        <v>14</v>
      </c>
      <c r="B44">
        <v>41</v>
      </c>
      <c r="C44" s="1">
        <v>46231</v>
      </c>
      <c r="D44" t="s">
        <v>60</v>
      </c>
      <c r="E44">
        <v>99.35</v>
      </c>
      <c r="G44">
        <v>99.35</v>
      </c>
      <c r="H44" s="25">
        <v>99.35</v>
      </c>
      <c r="I44" t="s">
        <v>17</v>
      </c>
      <c r="J44" t="s">
        <v>25</v>
      </c>
    </row>
    <row r="45" spans="1:10">
      <c r="A45" t="s">
        <v>14</v>
      </c>
      <c r="B45">
        <v>42</v>
      </c>
      <c r="C45" s="1">
        <v>46232</v>
      </c>
      <c r="D45" t="s">
        <v>61</v>
      </c>
      <c r="E45">
        <v>368.85</v>
      </c>
      <c r="G45">
        <v>368.85</v>
      </c>
      <c r="H45" s="25">
        <v>368.85</v>
      </c>
      <c r="I45" t="s">
        <v>17</v>
      </c>
      <c r="J45" t="s">
        <v>25</v>
      </c>
    </row>
    <row r="46" spans="1:10">
      <c r="A46" t="s">
        <v>14</v>
      </c>
      <c r="B46">
        <v>43</v>
      </c>
      <c r="C46" s="1">
        <v>46232</v>
      </c>
      <c r="D46" t="s">
        <v>62</v>
      </c>
      <c r="E46">
        <v>146.6</v>
      </c>
      <c r="G46">
        <v>146.6</v>
      </c>
      <c r="H46" s="25">
        <v>146.6</v>
      </c>
      <c r="I46" t="s">
        <v>17</v>
      </c>
      <c r="J46" t="s">
        <v>25</v>
      </c>
    </row>
    <row r="47" spans="1:10">
      <c r="A47" t="s">
        <v>14</v>
      </c>
      <c r="B47">
        <v>44</v>
      </c>
      <c r="C47" s="1">
        <v>46233</v>
      </c>
      <c r="D47" t="s">
        <v>63</v>
      </c>
      <c r="E47">
        <v>-24.13</v>
      </c>
      <c r="G47">
        <v>-24.13</v>
      </c>
      <c r="H47" s="25"/>
      <c r="I47" t="s">
        <v>12</v>
      </c>
    </row>
    <row r="48" spans="1:10">
      <c r="A48" t="s">
        <v>14</v>
      </c>
      <c r="B48">
        <v>45</v>
      </c>
      <c r="C48" s="1">
        <v>46234</v>
      </c>
      <c r="D48" t="s">
        <v>64</v>
      </c>
      <c r="E48">
        <v>-146.6</v>
      </c>
      <c r="G48">
        <v>-146.6</v>
      </c>
      <c r="H48" s="25"/>
      <c r="I48" t="s">
        <v>12</v>
      </c>
    </row>
    <row r="49" spans="1:10">
      <c r="A49" t="s">
        <v>14</v>
      </c>
      <c r="B49">
        <v>46</v>
      </c>
      <c r="C49" s="1">
        <v>46234</v>
      </c>
      <c r="D49" t="s">
        <v>65</v>
      </c>
      <c r="E49">
        <v>54.02</v>
      </c>
      <c r="G49">
        <v>54.02</v>
      </c>
      <c r="H49" s="25">
        <v>54.02</v>
      </c>
      <c r="I49" t="s">
        <v>17</v>
      </c>
      <c r="J49" t="s">
        <v>25</v>
      </c>
    </row>
    <row r="50" spans="1:10">
      <c r="A50" t="s">
        <v>14</v>
      </c>
      <c r="B50">
        <v>47</v>
      </c>
      <c r="C50" s="1">
        <v>46234</v>
      </c>
      <c r="D50" t="s">
        <v>66</v>
      </c>
      <c r="E50">
        <v>177.59</v>
      </c>
      <c r="G50">
        <v>177.59</v>
      </c>
      <c r="H50" s="25">
        <v>177.59</v>
      </c>
      <c r="I50" t="s">
        <v>17</v>
      </c>
      <c r="J50" t="s">
        <v>25</v>
      </c>
    </row>
    <row r="51" spans="1:10">
      <c r="A51" t="s">
        <v>14</v>
      </c>
      <c r="B51">
        <v>48</v>
      </c>
      <c r="C51" s="1">
        <v>46234</v>
      </c>
      <c r="D51" t="s">
        <v>67</v>
      </c>
      <c r="E51">
        <v>530.12</v>
      </c>
      <c r="G51">
        <v>530.12</v>
      </c>
      <c r="H51" s="25">
        <v>530.12</v>
      </c>
      <c r="I51" t="s">
        <v>17</v>
      </c>
      <c r="J51" t="s">
        <v>25</v>
      </c>
    </row>
    <row r="52" spans="1:10">
      <c r="A52" t="s">
        <v>14</v>
      </c>
      <c r="B52">
        <v>49</v>
      </c>
      <c r="C52" s="1">
        <v>46234</v>
      </c>
      <c r="D52" t="s">
        <v>68</v>
      </c>
      <c r="E52">
        <v>44.94</v>
      </c>
      <c r="G52">
        <v>44.94</v>
      </c>
      <c r="H52" s="25">
        <v>44.94</v>
      </c>
      <c r="I52" t="s">
        <v>17</v>
      </c>
      <c r="J52" t="s">
        <v>25</v>
      </c>
    </row>
    <row r="53" spans="1:10">
      <c r="A53" t="s">
        <v>14</v>
      </c>
      <c r="B53">
        <v>50</v>
      </c>
      <c r="C53" s="1">
        <v>46234</v>
      </c>
      <c r="D53" t="s">
        <v>69</v>
      </c>
      <c r="E53">
        <v>162.53</v>
      </c>
      <c r="G53">
        <v>162.53</v>
      </c>
      <c r="H53" s="25">
        <v>162.53</v>
      </c>
      <c r="I53" t="s">
        <v>17</v>
      </c>
      <c r="J53" t="s">
        <v>25</v>
      </c>
    </row>
    <row r="54" spans="1:10">
      <c r="A54" t="s">
        <v>14</v>
      </c>
      <c r="B54">
        <v>51</v>
      </c>
      <c r="C54" s="1">
        <v>46234</v>
      </c>
      <c r="D54" t="s">
        <v>70</v>
      </c>
      <c r="E54">
        <v>165.41</v>
      </c>
      <c r="G54">
        <v>165.41</v>
      </c>
      <c r="H54" s="25">
        <v>165.41</v>
      </c>
      <c r="I54" t="s">
        <v>17</v>
      </c>
      <c r="J54" t="s">
        <v>25</v>
      </c>
    </row>
    <row r="55" spans="1:10">
      <c r="A55" t="s">
        <v>71</v>
      </c>
      <c r="B55">
        <v>1</v>
      </c>
      <c r="C55" s="1">
        <v>45908</v>
      </c>
      <c r="D55" t="s">
        <v>72</v>
      </c>
      <c r="E55">
        <v>169.69</v>
      </c>
      <c r="G55">
        <v>169.69</v>
      </c>
      <c r="H55" s="25">
        <v>169.69</v>
      </c>
      <c r="I55" t="s">
        <v>17</v>
      </c>
      <c r="J55" t="s">
        <v>18</v>
      </c>
    </row>
    <row r="56" spans="1:10">
      <c r="A56" t="s">
        <v>71</v>
      </c>
      <c r="B56">
        <v>2</v>
      </c>
      <c r="C56" s="1">
        <v>45910</v>
      </c>
      <c r="D56" t="s">
        <v>73</v>
      </c>
      <c r="E56">
        <v>-15.08</v>
      </c>
      <c r="G56">
        <v>-15.08</v>
      </c>
      <c r="H56" s="25">
        <v>981.98</v>
      </c>
      <c r="I56" t="s">
        <v>41</v>
      </c>
      <c r="J56" t="s">
        <v>18</v>
      </c>
    </row>
    <row r="57" spans="1:10">
      <c r="A57" t="s">
        <v>71</v>
      </c>
      <c r="B57">
        <v>3</v>
      </c>
      <c r="C57" s="1">
        <v>45922</v>
      </c>
      <c r="D57" t="s">
        <v>74</v>
      </c>
      <c r="E57">
        <v>15.25</v>
      </c>
      <c r="G57">
        <v>15.25</v>
      </c>
      <c r="H57" s="25">
        <v>15.25</v>
      </c>
      <c r="I57" t="s">
        <v>17</v>
      </c>
      <c r="J57" t="s">
        <v>18</v>
      </c>
    </row>
    <row r="58" spans="1:10">
      <c r="A58" t="s">
        <v>71</v>
      </c>
      <c r="B58">
        <v>4</v>
      </c>
      <c r="C58" s="1">
        <v>45961</v>
      </c>
      <c r="D58" t="s">
        <v>75</v>
      </c>
      <c r="E58">
        <v>-169.86</v>
      </c>
      <c r="G58">
        <v>-169.86</v>
      </c>
      <c r="H58" s="25"/>
      <c r="I58" t="s">
        <v>12</v>
      </c>
    </row>
  </sheetData>
  <autoFilter ref="A1:J58" xr:uid="{00000000-0009-0000-0000-000002000000}"/>
  <conditionalFormatting sqref="I2:I58">
    <cfRule type="cellIs" dxfId="5" priority="1" operator="equal">
      <formula>"Match"</formula>
    </cfRule>
    <cfRule type="cellIs" dxfId="4" priority="2" operator="equal">
      <formula>"Amount Mismatch"</formula>
    </cfRule>
    <cfRule type="cellIs" dxfId="3" priority="3" operator="equal">
      <formula>"Invoice Not Present"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C9" sqref="C9"/>
    </sheetView>
  </sheetViews>
  <sheetFormatPr defaultRowHeight="14.5"/>
  <cols>
    <col min="1" max="1" width="21.6328125" bestFit="1" customWidth="1"/>
    <col min="2" max="2" width="58.08984375" customWidth="1"/>
  </cols>
  <sheetData>
    <row r="1" spans="1:2" ht="16.5" customHeight="1">
      <c r="A1" s="26" t="s">
        <v>185</v>
      </c>
      <c r="B1" s="27"/>
    </row>
    <row r="3" spans="1:2">
      <c r="A3" s="2" t="s">
        <v>177</v>
      </c>
      <c r="B3" s="2" t="s">
        <v>178</v>
      </c>
    </row>
    <row r="4" spans="1:2">
      <c r="A4" s="3" t="s">
        <v>17</v>
      </c>
      <c r="B4" s="4">
        <f>COUNTIF(nucar_quonset!$I$2:$I$58,$A4)</f>
        <v>42</v>
      </c>
    </row>
    <row r="5" spans="1:2">
      <c r="A5" s="11" t="s">
        <v>41</v>
      </c>
      <c r="B5" s="4">
        <f>COUNTIF(nucar_quonset!$I$2:$I$58,$A5)</f>
        <v>3</v>
      </c>
    </row>
    <row r="6" spans="1:2">
      <c r="A6" s="5" t="s">
        <v>12</v>
      </c>
      <c r="B6" s="4">
        <f>COUNTIF(nucar_quonset!$I$2:$I$58,$A6)</f>
        <v>12</v>
      </c>
    </row>
    <row r="7" spans="1:2">
      <c r="A7" s="6" t="s">
        <v>179</v>
      </c>
      <c r="B7" s="6">
        <f>SUM(B4:B6)</f>
        <v>57</v>
      </c>
    </row>
    <row r="10" spans="1:2">
      <c r="A10" s="7" t="s">
        <v>180</v>
      </c>
    </row>
    <row r="11" spans="1:2">
      <c r="A11" s="8" t="s">
        <v>181</v>
      </c>
      <c r="B11" s="9" t="s">
        <v>182</v>
      </c>
    </row>
    <row r="13" spans="1:2">
      <c r="A13" s="12" t="s">
        <v>186</v>
      </c>
      <c r="B13" s="9" t="s">
        <v>187</v>
      </c>
    </row>
    <row r="15" spans="1:2">
      <c r="A15" s="10" t="s">
        <v>183</v>
      </c>
      <c r="B15" s="9" t="s">
        <v>184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"/>
  <sheetViews>
    <sheetView tabSelected="1" zoomScaleNormal="100" workbookViewId="0">
      <selection activeCell="G1" sqref="G1:G1048576"/>
    </sheetView>
  </sheetViews>
  <sheetFormatPr defaultColWidth="8.6328125" defaultRowHeight="14.5"/>
  <cols>
    <col min="1" max="1" width="11.54296875" style="23" bestFit="1" customWidth="1"/>
    <col min="2" max="2" width="14.7265625" style="23" bestFit="1" customWidth="1"/>
    <col min="3" max="3" width="30" style="23" customWidth="1"/>
    <col min="4" max="4" width="9.6328125" style="23" bestFit="1" customWidth="1"/>
    <col min="5" max="5" width="22.453125" style="23" customWidth="1"/>
    <col min="6" max="6" width="22.1796875" style="23" bestFit="1" customWidth="1"/>
    <col min="7" max="7" width="8.6328125" style="23" customWidth="1"/>
    <col min="8" max="16384" width="8.6328125" style="23"/>
  </cols>
  <sheetData>
    <row r="1" spans="1:7">
      <c r="A1" s="23" t="s">
        <v>188</v>
      </c>
      <c r="B1" s="23" t="s">
        <v>77</v>
      </c>
      <c r="C1" s="23" t="s">
        <v>79</v>
      </c>
      <c r="D1" s="23" t="s">
        <v>189</v>
      </c>
      <c r="E1" t="s">
        <v>7</v>
      </c>
      <c r="F1" s="23" t="s">
        <v>8</v>
      </c>
      <c r="G1" t="s">
        <v>9</v>
      </c>
    </row>
    <row r="2" spans="1:7">
      <c r="A2" s="24">
        <v>46204</v>
      </c>
      <c r="B2" s="23">
        <v>125268661</v>
      </c>
      <c r="C2" s="23" t="s">
        <v>190</v>
      </c>
      <c r="D2" s="23">
        <v>1261.78</v>
      </c>
      <c r="E2" s="25">
        <v>1261.78</v>
      </c>
      <c r="F2" s="23" t="s">
        <v>17</v>
      </c>
      <c r="G2" t="s">
        <v>25</v>
      </c>
    </row>
    <row r="3" spans="1:7">
      <c r="A3" s="24">
        <v>46204</v>
      </c>
      <c r="B3" s="23">
        <v>125268662</v>
      </c>
      <c r="C3" s="23" t="s">
        <v>191</v>
      </c>
      <c r="D3" s="23">
        <v>9.6</v>
      </c>
      <c r="E3" s="25">
        <v>9.6</v>
      </c>
      <c r="F3" s="23" t="s">
        <v>17</v>
      </c>
      <c r="G3" t="s">
        <v>25</v>
      </c>
    </row>
    <row r="4" spans="1:7">
      <c r="A4" s="24">
        <v>46204</v>
      </c>
      <c r="B4" s="23">
        <v>135090429</v>
      </c>
      <c r="C4" s="23" t="s">
        <v>192</v>
      </c>
      <c r="D4" s="23">
        <v>-344.14</v>
      </c>
      <c r="E4" s="25"/>
      <c r="F4" s="23" t="s">
        <v>12</v>
      </c>
    </row>
    <row r="5" spans="1:7">
      <c r="A5" s="24">
        <v>46205</v>
      </c>
      <c r="B5" s="23">
        <v>125268697</v>
      </c>
      <c r="C5" s="23" t="s">
        <v>191</v>
      </c>
      <c r="D5" s="23">
        <v>-314.76</v>
      </c>
      <c r="E5" s="25"/>
      <c r="F5" s="23" t="s">
        <v>12</v>
      </c>
    </row>
    <row r="6" spans="1:7">
      <c r="A6" s="24">
        <v>46205</v>
      </c>
      <c r="B6" s="23">
        <v>125268729</v>
      </c>
      <c r="C6" s="23" t="s">
        <v>193</v>
      </c>
      <c r="D6" s="23">
        <v>981.94</v>
      </c>
      <c r="E6" s="25">
        <v>981.94</v>
      </c>
      <c r="F6" s="23" t="s">
        <v>17</v>
      </c>
      <c r="G6" t="s">
        <v>25</v>
      </c>
    </row>
    <row r="7" spans="1:7">
      <c r="A7" s="24">
        <v>46205</v>
      </c>
      <c r="B7" s="23">
        <v>165492104</v>
      </c>
      <c r="C7" s="23" t="s">
        <v>194</v>
      </c>
      <c r="D7" s="23">
        <v>112.79</v>
      </c>
      <c r="E7" s="25">
        <v>112.79</v>
      </c>
      <c r="F7" s="23" t="s">
        <v>17</v>
      </c>
      <c r="G7" t="s">
        <v>25</v>
      </c>
    </row>
    <row r="8" spans="1:7">
      <c r="A8" s="24">
        <v>46205</v>
      </c>
      <c r="B8" s="23">
        <v>165492201</v>
      </c>
      <c r="C8" s="23" t="s">
        <v>194</v>
      </c>
      <c r="D8" s="23">
        <v>30.01</v>
      </c>
      <c r="E8" s="25">
        <v>30.01</v>
      </c>
      <c r="F8" s="23" t="s">
        <v>17</v>
      </c>
      <c r="G8" t="s">
        <v>25</v>
      </c>
    </row>
    <row r="9" spans="1:7">
      <c r="A9" s="24">
        <v>46206</v>
      </c>
      <c r="B9" s="23">
        <v>165492260</v>
      </c>
      <c r="C9" s="23" t="s">
        <v>195</v>
      </c>
      <c r="D9" s="23">
        <v>104.09</v>
      </c>
      <c r="E9" s="25">
        <v>104.09</v>
      </c>
      <c r="F9" s="23" t="s">
        <v>17</v>
      </c>
      <c r="G9" t="s">
        <v>25</v>
      </c>
    </row>
    <row r="10" spans="1:7">
      <c r="A10" s="24">
        <v>46209</v>
      </c>
      <c r="B10" s="23">
        <v>145180435</v>
      </c>
      <c r="C10" s="23" t="s">
        <v>196</v>
      </c>
      <c r="D10" s="23">
        <v>-147.36000000000001</v>
      </c>
      <c r="E10" s="25"/>
      <c r="F10" s="23" t="s">
        <v>12</v>
      </c>
    </row>
    <row r="11" spans="1:7">
      <c r="A11" s="24">
        <v>46209</v>
      </c>
      <c r="B11" s="23">
        <v>145180436</v>
      </c>
      <c r="C11" s="23" t="s">
        <v>196</v>
      </c>
      <c r="D11" s="23">
        <v>-114.31</v>
      </c>
      <c r="E11" s="25"/>
      <c r="F11" s="23" t="s">
        <v>12</v>
      </c>
    </row>
    <row r="12" spans="1:7">
      <c r="A12" s="24">
        <v>46209</v>
      </c>
      <c r="B12" s="23">
        <v>145180440</v>
      </c>
      <c r="C12" s="23" t="s">
        <v>197</v>
      </c>
      <c r="D12" s="23">
        <v>-321.25</v>
      </c>
      <c r="E12" s="25"/>
      <c r="F12" s="23" t="s">
        <v>12</v>
      </c>
    </row>
    <row r="13" spans="1:7">
      <c r="A13" s="24">
        <v>46210</v>
      </c>
      <c r="B13" s="23">
        <v>125268846</v>
      </c>
      <c r="C13" s="23" t="s">
        <v>198</v>
      </c>
      <c r="D13" s="23">
        <v>198.75</v>
      </c>
      <c r="E13" s="25">
        <v>198.75</v>
      </c>
      <c r="F13" s="23" t="s">
        <v>17</v>
      </c>
      <c r="G13" t="s">
        <v>25</v>
      </c>
    </row>
    <row r="14" spans="1:7">
      <c r="A14" s="24">
        <v>46210</v>
      </c>
      <c r="B14" s="23">
        <v>125268913</v>
      </c>
      <c r="C14" s="23" t="s">
        <v>199</v>
      </c>
      <c r="D14" s="23">
        <v>1803.11</v>
      </c>
      <c r="E14" s="25">
        <v>1803.11</v>
      </c>
      <c r="F14" s="23" t="s">
        <v>17</v>
      </c>
      <c r="G14" t="s">
        <v>25</v>
      </c>
    </row>
    <row r="15" spans="1:7">
      <c r="A15" s="24">
        <v>46210</v>
      </c>
      <c r="B15" s="23">
        <v>125268914</v>
      </c>
      <c r="C15" s="23" t="s">
        <v>200</v>
      </c>
      <c r="D15" s="23">
        <v>9.69</v>
      </c>
      <c r="E15" s="25">
        <v>9.69</v>
      </c>
      <c r="F15" s="23" t="s">
        <v>17</v>
      </c>
      <c r="G15" t="s">
        <v>25</v>
      </c>
    </row>
    <row r="16" spans="1:7">
      <c r="A16" s="24">
        <v>46210</v>
      </c>
      <c r="B16" s="23">
        <v>145180509</v>
      </c>
      <c r="C16" s="23" t="s">
        <v>201</v>
      </c>
      <c r="D16" s="23">
        <v>13.5</v>
      </c>
      <c r="E16" s="25">
        <v>13.5</v>
      </c>
      <c r="F16" s="23" t="s">
        <v>17</v>
      </c>
      <c r="G16" t="s">
        <v>25</v>
      </c>
    </row>
    <row r="17" spans="1:7">
      <c r="A17" s="24">
        <v>46210</v>
      </c>
      <c r="B17" s="23">
        <v>145180537</v>
      </c>
      <c r="C17" s="23" t="s">
        <v>202</v>
      </c>
      <c r="D17" s="23">
        <v>10.96</v>
      </c>
      <c r="E17" s="25">
        <v>10.96</v>
      </c>
      <c r="F17" s="23" t="s">
        <v>17</v>
      </c>
      <c r="G17" t="s">
        <v>25</v>
      </c>
    </row>
    <row r="18" spans="1:7">
      <c r="A18" s="24">
        <v>46210</v>
      </c>
      <c r="B18" s="23">
        <v>165492584</v>
      </c>
      <c r="C18" s="23" t="s">
        <v>203</v>
      </c>
      <c r="D18" s="23">
        <v>636.46</v>
      </c>
      <c r="E18" s="25">
        <v>636.46</v>
      </c>
      <c r="F18" s="23" t="s">
        <v>17</v>
      </c>
      <c r="G18" t="s">
        <v>25</v>
      </c>
    </row>
    <row r="19" spans="1:7">
      <c r="A19" s="24">
        <v>46210</v>
      </c>
      <c r="B19" s="23">
        <v>165492715</v>
      </c>
      <c r="C19" s="23" t="s">
        <v>203</v>
      </c>
      <c r="D19" s="23">
        <v>480.76</v>
      </c>
      <c r="E19" s="25">
        <v>480.76</v>
      </c>
      <c r="F19" s="23" t="s">
        <v>17</v>
      </c>
      <c r="G19" t="s">
        <v>25</v>
      </c>
    </row>
    <row r="20" spans="1:7">
      <c r="A20" s="24">
        <v>46211</v>
      </c>
      <c r="B20" s="23">
        <v>125268936</v>
      </c>
      <c r="C20" s="23" t="s">
        <v>200</v>
      </c>
      <c r="D20" s="23">
        <v>3.89</v>
      </c>
      <c r="E20" s="25">
        <v>3.89</v>
      </c>
      <c r="F20" s="23" t="s">
        <v>17</v>
      </c>
      <c r="G20" t="s">
        <v>25</v>
      </c>
    </row>
    <row r="21" spans="1:7">
      <c r="A21" s="24">
        <v>46211</v>
      </c>
      <c r="B21" s="23">
        <v>145180619</v>
      </c>
      <c r="C21" s="23" t="s">
        <v>204</v>
      </c>
      <c r="D21" s="23">
        <v>1529.46</v>
      </c>
      <c r="E21" s="25">
        <v>1529.46</v>
      </c>
      <c r="F21" s="23" t="s">
        <v>17</v>
      </c>
      <c r="G21" t="s">
        <v>25</v>
      </c>
    </row>
    <row r="22" spans="1:7">
      <c r="A22" s="24">
        <v>46211</v>
      </c>
      <c r="B22" s="23">
        <v>165492846</v>
      </c>
      <c r="C22" s="23" t="s">
        <v>195</v>
      </c>
      <c r="D22" s="23">
        <v>10.09</v>
      </c>
      <c r="E22" s="25">
        <v>10.09</v>
      </c>
      <c r="F22" s="23" t="s">
        <v>17</v>
      </c>
      <c r="G22" t="s">
        <v>25</v>
      </c>
    </row>
    <row r="23" spans="1:7">
      <c r="A23" s="24">
        <v>46211</v>
      </c>
      <c r="B23" s="23">
        <v>165492847</v>
      </c>
      <c r="C23" s="23" t="s">
        <v>205</v>
      </c>
      <c r="D23" s="23">
        <v>243.54</v>
      </c>
      <c r="E23" s="25">
        <v>243.54</v>
      </c>
      <c r="F23" s="23" t="s">
        <v>17</v>
      </c>
      <c r="G23" t="s">
        <v>25</v>
      </c>
    </row>
    <row r="24" spans="1:7">
      <c r="A24" s="24">
        <v>46211</v>
      </c>
      <c r="B24" s="23">
        <v>165492848</v>
      </c>
      <c r="C24" s="23" t="s">
        <v>206</v>
      </c>
      <c r="D24" s="23">
        <v>220.99</v>
      </c>
      <c r="E24" s="25">
        <v>220.99</v>
      </c>
      <c r="F24" s="23" t="s">
        <v>17</v>
      </c>
      <c r="G24" t="s">
        <v>25</v>
      </c>
    </row>
    <row r="25" spans="1:7">
      <c r="A25" s="24">
        <v>46212</v>
      </c>
      <c r="B25" s="23">
        <v>165493159</v>
      </c>
      <c r="C25" s="23" t="s">
        <v>207</v>
      </c>
      <c r="D25" s="23">
        <v>12.49</v>
      </c>
      <c r="E25" s="25">
        <v>12.49</v>
      </c>
      <c r="F25" s="23" t="s">
        <v>17</v>
      </c>
      <c r="G25" t="s">
        <v>25</v>
      </c>
    </row>
    <row r="26" spans="1:7">
      <c r="A26" s="24">
        <v>46212</v>
      </c>
      <c r="B26" s="23">
        <v>165493297</v>
      </c>
      <c r="C26" s="23" t="s">
        <v>195</v>
      </c>
      <c r="D26" s="23">
        <v>237.59</v>
      </c>
      <c r="E26" s="25">
        <v>237.59</v>
      </c>
      <c r="F26" s="23" t="s">
        <v>17</v>
      </c>
      <c r="G26" t="s">
        <v>25</v>
      </c>
    </row>
    <row r="27" spans="1:7">
      <c r="A27" s="24">
        <v>46212</v>
      </c>
      <c r="B27" s="23">
        <v>165493298</v>
      </c>
      <c r="C27" s="23" t="s">
        <v>208</v>
      </c>
      <c r="D27" s="23">
        <v>60.76</v>
      </c>
      <c r="E27" s="25">
        <v>60.76</v>
      </c>
      <c r="F27" s="23" t="s">
        <v>17</v>
      </c>
      <c r="G27" t="s">
        <v>25</v>
      </c>
    </row>
    <row r="28" spans="1:7">
      <c r="A28" s="24">
        <v>46213</v>
      </c>
      <c r="B28" s="23">
        <v>125269064</v>
      </c>
      <c r="C28" s="23" t="s">
        <v>200</v>
      </c>
      <c r="D28" s="23">
        <v>69.400000000000006</v>
      </c>
      <c r="E28" s="25">
        <v>69.400000000000006</v>
      </c>
      <c r="F28" s="23" t="s">
        <v>17</v>
      </c>
      <c r="G28" t="s">
        <v>25</v>
      </c>
    </row>
    <row r="29" spans="1:7">
      <c r="A29" s="24">
        <v>46213</v>
      </c>
      <c r="B29" s="23">
        <v>165493364</v>
      </c>
      <c r="C29" s="23" t="s">
        <v>194</v>
      </c>
      <c r="D29" s="23">
        <v>31.77</v>
      </c>
      <c r="E29" s="25">
        <v>31.77</v>
      </c>
      <c r="F29" s="23" t="s">
        <v>17</v>
      </c>
      <c r="G29" t="s">
        <v>25</v>
      </c>
    </row>
    <row r="30" spans="1:7">
      <c r="A30" s="24">
        <v>46216</v>
      </c>
      <c r="B30" s="23">
        <v>145180809</v>
      </c>
      <c r="C30" s="23" t="s">
        <v>204</v>
      </c>
      <c r="D30" s="23">
        <v>145.56</v>
      </c>
      <c r="E30" s="25">
        <v>145.56</v>
      </c>
      <c r="F30" s="23" t="s">
        <v>17</v>
      </c>
      <c r="G30" t="s">
        <v>25</v>
      </c>
    </row>
    <row r="31" spans="1:7">
      <c r="A31" s="24">
        <v>46216</v>
      </c>
      <c r="B31" s="23">
        <v>165493599</v>
      </c>
      <c r="C31" s="23" t="s">
        <v>203</v>
      </c>
      <c r="D31" s="23">
        <v>-223.88</v>
      </c>
      <c r="E31" s="25"/>
      <c r="F31" s="23" t="s">
        <v>12</v>
      </c>
    </row>
    <row r="32" spans="1:7">
      <c r="A32" s="24">
        <v>46217</v>
      </c>
      <c r="B32" s="23">
        <v>125269313</v>
      </c>
      <c r="C32" s="23" t="s">
        <v>209</v>
      </c>
      <c r="D32" s="23">
        <v>-178.57</v>
      </c>
      <c r="E32" s="25"/>
      <c r="F32" s="23" t="s">
        <v>12</v>
      </c>
    </row>
    <row r="33" spans="1:7">
      <c r="A33" s="24">
        <v>46217</v>
      </c>
      <c r="B33" s="23">
        <v>145180840</v>
      </c>
      <c r="C33" s="23" t="s">
        <v>204</v>
      </c>
      <c r="D33" s="23">
        <v>16.13</v>
      </c>
      <c r="E33" s="25">
        <v>16.13</v>
      </c>
      <c r="F33" s="23" t="s">
        <v>17</v>
      </c>
      <c r="G33" t="s">
        <v>25</v>
      </c>
    </row>
    <row r="34" spans="1:7">
      <c r="A34" s="24">
        <v>46217</v>
      </c>
      <c r="B34" s="23">
        <v>145180884</v>
      </c>
      <c r="C34" s="23" t="s">
        <v>210</v>
      </c>
      <c r="D34" s="23">
        <v>366.35</v>
      </c>
      <c r="E34" s="25">
        <v>366.35</v>
      </c>
      <c r="F34" s="23" t="s">
        <v>17</v>
      </c>
      <c r="G34" t="s">
        <v>25</v>
      </c>
    </row>
    <row r="35" spans="1:7">
      <c r="A35" s="24">
        <v>46217</v>
      </c>
      <c r="B35" s="23">
        <v>145180885</v>
      </c>
      <c r="C35" s="23" t="s">
        <v>210</v>
      </c>
      <c r="D35" s="23">
        <v>18.02</v>
      </c>
      <c r="E35" s="25">
        <v>18.02</v>
      </c>
      <c r="F35" s="23" t="s">
        <v>17</v>
      </c>
      <c r="G35" t="s">
        <v>25</v>
      </c>
    </row>
    <row r="36" spans="1:7">
      <c r="A36" s="24">
        <v>46217</v>
      </c>
      <c r="B36" s="23">
        <v>165493696</v>
      </c>
      <c r="C36" s="23" t="s">
        <v>211</v>
      </c>
      <c r="D36" s="23">
        <v>6.41</v>
      </c>
      <c r="E36" s="25">
        <v>6.41</v>
      </c>
      <c r="F36" s="23" t="s">
        <v>17</v>
      </c>
      <c r="G36" t="s">
        <v>25</v>
      </c>
    </row>
    <row r="37" spans="1:7">
      <c r="A37" s="24">
        <v>46218</v>
      </c>
      <c r="B37" s="23">
        <v>125269428</v>
      </c>
      <c r="C37" s="23" t="s">
        <v>212</v>
      </c>
      <c r="D37" s="23">
        <v>41.67</v>
      </c>
      <c r="E37" s="25">
        <v>41.67</v>
      </c>
      <c r="F37" s="23" t="s">
        <v>17</v>
      </c>
      <c r="G37" t="s">
        <v>25</v>
      </c>
    </row>
    <row r="38" spans="1:7">
      <c r="A38" s="24">
        <v>46218</v>
      </c>
      <c r="B38" s="23">
        <v>125269445</v>
      </c>
      <c r="C38" s="23" t="s">
        <v>213</v>
      </c>
      <c r="D38" s="23">
        <v>85.62</v>
      </c>
      <c r="E38" s="25">
        <v>85.62</v>
      </c>
      <c r="F38" s="23" t="s">
        <v>17</v>
      </c>
      <c r="G38" t="s">
        <v>25</v>
      </c>
    </row>
    <row r="39" spans="1:7">
      <c r="A39" s="24">
        <v>46218</v>
      </c>
      <c r="B39" s="23">
        <v>125269446</v>
      </c>
      <c r="C39" s="23" t="s">
        <v>213</v>
      </c>
      <c r="D39" s="23">
        <v>1030.32</v>
      </c>
      <c r="E39" s="25">
        <v>1030.32</v>
      </c>
      <c r="F39" s="23" t="s">
        <v>17</v>
      </c>
      <c r="G39" t="s">
        <v>25</v>
      </c>
    </row>
    <row r="40" spans="1:7">
      <c r="A40" s="24">
        <v>46218</v>
      </c>
      <c r="B40" s="23">
        <v>125269447</v>
      </c>
      <c r="C40" s="23" t="s">
        <v>199</v>
      </c>
      <c r="D40" s="23">
        <v>9.5500000000000007</v>
      </c>
      <c r="E40" s="25">
        <v>9.5500000000000007</v>
      </c>
      <c r="F40" s="23" t="s">
        <v>17</v>
      </c>
      <c r="G40" t="s">
        <v>25</v>
      </c>
    </row>
    <row r="41" spans="1:7">
      <c r="A41" s="24">
        <v>46218</v>
      </c>
      <c r="B41" s="23">
        <v>125269448</v>
      </c>
      <c r="C41" s="23" t="s">
        <v>212</v>
      </c>
      <c r="D41" s="23">
        <v>236.88</v>
      </c>
      <c r="E41" s="25">
        <v>236.88</v>
      </c>
      <c r="F41" s="23" t="s">
        <v>17</v>
      </c>
      <c r="G41" t="s">
        <v>25</v>
      </c>
    </row>
    <row r="42" spans="1:7">
      <c r="A42" s="24">
        <v>46218</v>
      </c>
      <c r="B42" s="23">
        <v>165493960</v>
      </c>
      <c r="C42" s="23" t="s">
        <v>214</v>
      </c>
      <c r="D42" s="23">
        <v>99.53</v>
      </c>
      <c r="E42" s="25">
        <v>99.53</v>
      </c>
      <c r="F42" s="23" t="s">
        <v>17</v>
      </c>
      <c r="G42" t="s">
        <v>25</v>
      </c>
    </row>
    <row r="43" spans="1:7">
      <c r="A43" s="24">
        <v>46218</v>
      </c>
      <c r="B43" s="23">
        <v>165494096</v>
      </c>
      <c r="C43" s="23" t="s">
        <v>215</v>
      </c>
      <c r="D43" s="23">
        <v>189.02</v>
      </c>
      <c r="E43" s="25">
        <v>189.02</v>
      </c>
      <c r="F43" s="23" t="s">
        <v>17</v>
      </c>
      <c r="G43" t="s">
        <v>25</v>
      </c>
    </row>
    <row r="44" spans="1:7">
      <c r="A44" s="24">
        <v>46218</v>
      </c>
      <c r="B44" s="23">
        <v>165494188</v>
      </c>
      <c r="C44" s="23" t="s">
        <v>216</v>
      </c>
      <c r="D44" s="23">
        <v>595.30999999999995</v>
      </c>
      <c r="E44" s="25">
        <v>595.30999999999995</v>
      </c>
      <c r="F44" s="23" t="s">
        <v>17</v>
      </c>
      <c r="G44" t="s">
        <v>25</v>
      </c>
    </row>
    <row r="45" spans="1:7">
      <c r="A45" s="24">
        <v>46219</v>
      </c>
      <c r="B45" s="23">
        <v>125269544</v>
      </c>
      <c r="C45" s="23" t="s">
        <v>193</v>
      </c>
      <c r="D45" s="23">
        <v>270.85000000000002</v>
      </c>
      <c r="E45" s="25">
        <v>270.85000000000002</v>
      </c>
      <c r="F45" s="23" t="s">
        <v>17</v>
      </c>
      <c r="G45" t="s">
        <v>25</v>
      </c>
    </row>
    <row r="46" spans="1:7">
      <c r="A46" s="24">
        <v>46219</v>
      </c>
      <c r="B46" s="23">
        <v>165494390</v>
      </c>
      <c r="C46" s="23" t="s">
        <v>217</v>
      </c>
      <c r="D46" s="23">
        <v>120.67</v>
      </c>
      <c r="E46" s="25">
        <v>120.67</v>
      </c>
      <c r="F46" s="23" t="s">
        <v>17</v>
      </c>
      <c r="G46" t="s">
        <v>25</v>
      </c>
    </row>
    <row r="47" spans="1:7">
      <c r="A47" s="24">
        <v>46219</v>
      </c>
      <c r="B47" s="23">
        <v>165494391</v>
      </c>
      <c r="C47" s="23" t="s">
        <v>218</v>
      </c>
      <c r="D47" s="23">
        <v>36.340000000000003</v>
      </c>
      <c r="E47" s="25">
        <v>36.340000000000003</v>
      </c>
      <c r="F47" s="23" t="s">
        <v>17</v>
      </c>
      <c r="G47" t="s">
        <v>25</v>
      </c>
    </row>
    <row r="48" spans="1:7">
      <c r="A48" s="24">
        <v>46219</v>
      </c>
      <c r="B48" s="23">
        <v>165494392</v>
      </c>
      <c r="C48" s="23" t="s">
        <v>211</v>
      </c>
      <c r="D48" s="23">
        <v>324.41000000000003</v>
      </c>
      <c r="E48" s="25">
        <v>324.41000000000003</v>
      </c>
      <c r="F48" s="23" t="s">
        <v>17</v>
      </c>
      <c r="G48" t="s">
        <v>25</v>
      </c>
    </row>
    <row r="49" spans="1:7">
      <c r="A49" s="24">
        <v>46219</v>
      </c>
      <c r="B49" s="23">
        <v>165494393</v>
      </c>
      <c r="C49" s="23" t="s">
        <v>219</v>
      </c>
      <c r="D49" s="23">
        <v>204.68</v>
      </c>
      <c r="E49" s="25">
        <v>204.68</v>
      </c>
      <c r="F49" s="23" t="s">
        <v>17</v>
      </c>
      <c r="G49" t="s">
        <v>25</v>
      </c>
    </row>
    <row r="50" spans="1:7">
      <c r="A50" s="24">
        <v>46219</v>
      </c>
      <c r="B50" s="23">
        <v>165494394</v>
      </c>
      <c r="C50" s="23" t="s">
        <v>219</v>
      </c>
      <c r="D50" s="23">
        <v>38.78</v>
      </c>
      <c r="E50" s="25">
        <v>38.78</v>
      </c>
      <c r="F50" s="23" t="s">
        <v>17</v>
      </c>
      <c r="G50" t="s">
        <v>25</v>
      </c>
    </row>
    <row r="51" spans="1:7">
      <c r="A51" s="24">
        <v>46220</v>
      </c>
      <c r="B51" s="23">
        <v>165494520</v>
      </c>
      <c r="C51" s="23" t="s">
        <v>215</v>
      </c>
      <c r="D51" s="23">
        <v>-189.02</v>
      </c>
      <c r="E51" s="25"/>
      <c r="F51" s="23" t="s">
        <v>12</v>
      </c>
    </row>
    <row r="52" spans="1:7">
      <c r="A52" s="24">
        <v>46223</v>
      </c>
      <c r="B52" s="23">
        <v>125269719</v>
      </c>
      <c r="C52" s="23" t="s">
        <v>220</v>
      </c>
      <c r="D52" s="23">
        <v>649.19000000000005</v>
      </c>
      <c r="E52" s="25">
        <v>649.19000000000005</v>
      </c>
      <c r="F52" s="23" t="s">
        <v>17</v>
      </c>
      <c r="G52" t="s">
        <v>25</v>
      </c>
    </row>
    <row r="53" spans="1:7">
      <c r="A53" s="24">
        <v>46224</v>
      </c>
      <c r="B53" s="23">
        <v>125269820</v>
      </c>
      <c r="C53" s="23" t="s">
        <v>191</v>
      </c>
      <c r="D53" s="23">
        <v>7.2</v>
      </c>
      <c r="E53" s="25"/>
      <c r="F53" s="23" t="s">
        <v>12</v>
      </c>
    </row>
    <row r="54" spans="1:7">
      <c r="A54" s="24">
        <v>46224</v>
      </c>
      <c r="B54" s="23">
        <v>125269821</v>
      </c>
      <c r="C54" s="23" t="s">
        <v>199</v>
      </c>
      <c r="D54" s="23">
        <v>73.599999999999994</v>
      </c>
      <c r="E54" s="25">
        <v>73.599999999999994</v>
      </c>
      <c r="F54" s="23" t="s">
        <v>17</v>
      </c>
      <c r="G54" t="s">
        <v>25</v>
      </c>
    </row>
    <row r="55" spans="1:7">
      <c r="A55" s="24">
        <v>46224</v>
      </c>
      <c r="B55" s="23">
        <v>125269822</v>
      </c>
      <c r="C55" s="23" t="s">
        <v>199</v>
      </c>
      <c r="D55" s="23">
        <v>103.05</v>
      </c>
      <c r="E55" s="25">
        <v>103.05</v>
      </c>
      <c r="F55" s="23" t="s">
        <v>17</v>
      </c>
      <c r="G55" t="s">
        <v>25</v>
      </c>
    </row>
    <row r="56" spans="1:7">
      <c r="A56" s="24">
        <v>46224</v>
      </c>
      <c r="B56" s="23">
        <v>125269834</v>
      </c>
      <c r="C56" s="23" t="s">
        <v>221</v>
      </c>
      <c r="D56" s="23">
        <v>430.67</v>
      </c>
      <c r="E56" s="25">
        <v>430.67</v>
      </c>
      <c r="F56" s="23" t="s">
        <v>17</v>
      </c>
      <c r="G56" t="s">
        <v>25</v>
      </c>
    </row>
    <row r="57" spans="1:7">
      <c r="A57" s="24">
        <v>46224</v>
      </c>
      <c r="B57" s="23">
        <v>145181152</v>
      </c>
      <c r="C57" s="23" t="s">
        <v>222</v>
      </c>
      <c r="D57" s="23">
        <v>5072.24</v>
      </c>
      <c r="E57" s="25">
        <v>5072.24</v>
      </c>
      <c r="F57" s="23" t="s">
        <v>17</v>
      </c>
      <c r="G57" t="s">
        <v>25</v>
      </c>
    </row>
    <row r="58" spans="1:7">
      <c r="A58" s="24">
        <v>46224</v>
      </c>
      <c r="B58" s="23">
        <v>165494834</v>
      </c>
      <c r="C58" s="23" t="s">
        <v>216</v>
      </c>
      <c r="D58" s="23">
        <v>129.66999999999999</v>
      </c>
      <c r="E58" s="25">
        <v>129.66999999999999</v>
      </c>
      <c r="F58" s="23" t="s">
        <v>17</v>
      </c>
      <c r="G58" t="s">
        <v>25</v>
      </c>
    </row>
    <row r="59" spans="1:7">
      <c r="A59" s="24">
        <v>46225</v>
      </c>
      <c r="B59" s="23">
        <v>165495050</v>
      </c>
      <c r="C59" s="23" t="s">
        <v>223</v>
      </c>
      <c r="D59" s="23">
        <v>63.21</v>
      </c>
      <c r="E59" s="25">
        <v>63.21</v>
      </c>
      <c r="F59" s="23" t="s">
        <v>17</v>
      </c>
      <c r="G59" t="s">
        <v>25</v>
      </c>
    </row>
    <row r="60" spans="1:7">
      <c r="A60" s="24">
        <v>46225</v>
      </c>
      <c r="B60" s="23">
        <v>165495051</v>
      </c>
      <c r="C60" s="23" t="s">
        <v>219</v>
      </c>
      <c r="D60" s="23">
        <v>37.29</v>
      </c>
      <c r="E60" s="25">
        <v>37.29</v>
      </c>
      <c r="F60" s="23" t="s">
        <v>17</v>
      </c>
      <c r="G60" t="s">
        <v>25</v>
      </c>
    </row>
    <row r="61" spans="1:7">
      <c r="A61" s="24">
        <v>46225</v>
      </c>
      <c r="B61" s="23">
        <v>165495052</v>
      </c>
      <c r="C61" s="23" t="s">
        <v>223</v>
      </c>
      <c r="D61" s="23">
        <v>20.059999999999999</v>
      </c>
      <c r="E61" s="25">
        <v>20.059999999999999</v>
      </c>
      <c r="F61" s="23" t="s">
        <v>17</v>
      </c>
      <c r="G61" t="s">
        <v>25</v>
      </c>
    </row>
    <row r="62" spans="1:7">
      <c r="A62" s="24">
        <v>46225</v>
      </c>
      <c r="B62" s="23">
        <v>165495150</v>
      </c>
      <c r="C62" s="23" t="s">
        <v>224</v>
      </c>
      <c r="D62" s="23">
        <v>-118.89</v>
      </c>
      <c r="E62" s="25"/>
      <c r="F62" s="23" t="s">
        <v>12</v>
      </c>
    </row>
    <row r="63" spans="1:7">
      <c r="A63" s="24">
        <v>46225</v>
      </c>
      <c r="B63" s="23">
        <v>165495191</v>
      </c>
      <c r="C63" s="23" t="s">
        <v>225</v>
      </c>
      <c r="D63" s="23">
        <v>-99.53</v>
      </c>
      <c r="E63" s="25"/>
      <c r="F63" s="23" t="s">
        <v>12</v>
      </c>
    </row>
    <row r="64" spans="1:7">
      <c r="A64" s="24">
        <v>46225</v>
      </c>
      <c r="B64" s="23">
        <v>165495294</v>
      </c>
      <c r="C64" s="23" t="s">
        <v>223</v>
      </c>
      <c r="D64" s="23">
        <v>4.58</v>
      </c>
      <c r="E64" s="25">
        <v>4.58</v>
      </c>
      <c r="F64" s="23" t="s">
        <v>17</v>
      </c>
      <c r="G64" t="s">
        <v>25</v>
      </c>
    </row>
    <row r="65" spans="1:7">
      <c r="A65" s="24">
        <v>46225</v>
      </c>
      <c r="B65" s="23">
        <v>165495295</v>
      </c>
      <c r="C65" s="23" t="s">
        <v>226</v>
      </c>
      <c r="D65" s="23">
        <v>340.1</v>
      </c>
      <c r="E65" s="25">
        <v>340.1</v>
      </c>
      <c r="F65" s="23" t="s">
        <v>17</v>
      </c>
      <c r="G65" t="s">
        <v>25</v>
      </c>
    </row>
    <row r="66" spans="1:7">
      <c r="A66" s="24">
        <v>46225</v>
      </c>
      <c r="B66" s="23">
        <v>165495296</v>
      </c>
      <c r="C66" s="23" t="s">
        <v>219</v>
      </c>
      <c r="D66" s="23">
        <v>38.950000000000003</v>
      </c>
      <c r="E66" s="25">
        <v>38.950000000000003</v>
      </c>
      <c r="F66" s="23" t="s">
        <v>17</v>
      </c>
      <c r="G66" t="s">
        <v>25</v>
      </c>
    </row>
    <row r="67" spans="1:7">
      <c r="A67" s="24">
        <v>46226</v>
      </c>
      <c r="B67" s="23">
        <v>125269919</v>
      </c>
      <c r="C67" s="23" t="s">
        <v>193</v>
      </c>
      <c r="D67" s="23">
        <v>121.54</v>
      </c>
      <c r="E67" s="25">
        <v>121.54</v>
      </c>
      <c r="F67" s="23" t="s">
        <v>17</v>
      </c>
      <c r="G67" t="s">
        <v>25</v>
      </c>
    </row>
    <row r="68" spans="1:7">
      <c r="A68" s="24">
        <v>46226</v>
      </c>
      <c r="B68" s="23">
        <v>125269962</v>
      </c>
      <c r="C68" s="23" t="s">
        <v>191</v>
      </c>
      <c r="D68" s="23">
        <v>9</v>
      </c>
      <c r="E68" s="25"/>
      <c r="F68" s="23" t="s">
        <v>12</v>
      </c>
    </row>
    <row r="69" spans="1:7">
      <c r="A69" s="24">
        <v>46226</v>
      </c>
      <c r="B69" s="23">
        <v>145181289</v>
      </c>
      <c r="C69" s="23" t="s">
        <v>222</v>
      </c>
      <c r="D69" s="23">
        <v>160.16999999999999</v>
      </c>
      <c r="E69" s="25">
        <v>160.16999999999999</v>
      </c>
      <c r="F69" s="23" t="s">
        <v>17</v>
      </c>
      <c r="G69" t="s">
        <v>25</v>
      </c>
    </row>
    <row r="70" spans="1:7">
      <c r="A70" s="24">
        <v>46226</v>
      </c>
      <c r="B70" s="23">
        <v>145181324</v>
      </c>
      <c r="C70" s="23" t="s">
        <v>210</v>
      </c>
      <c r="D70" s="23">
        <v>207.51</v>
      </c>
      <c r="E70" s="25">
        <v>207.51</v>
      </c>
      <c r="F70" s="23" t="s">
        <v>17</v>
      </c>
      <c r="G70" t="s">
        <v>25</v>
      </c>
    </row>
    <row r="71" spans="1:7">
      <c r="A71" s="24">
        <v>46226</v>
      </c>
      <c r="B71" s="23">
        <v>165495429</v>
      </c>
      <c r="C71" s="23" t="s">
        <v>223</v>
      </c>
      <c r="D71" s="23">
        <v>-4.58</v>
      </c>
      <c r="E71" s="25"/>
      <c r="F71" s="23" t="s">
        <v>12</v>
      </c>
    </row>
    <row r="72" spans="1:7">
      <c r="A72" s="24">
        <v>46227</v>
      </c>
      <c r="B72" s="23">
        <v>145181372</v>
      </c>
      <c r="C72" s="23" t="s">
        <v>210</v>
      </c>
      <c r="D72" s="23">
        <v>99.67</v>
      </c>
      <c r="E72" s="25">
        <v>99.67</v>
      </c>
      <c r="F72" s="23" t="s">
        <v>17</v>
      </c>
      <c r="G72" t="s">
        <v>25</v>
      </c>
    </row>
    <row r="73" spans="1:7">
      <c r="A73" s="24">
        <v>46230</v>
      </c>
      <c r="B73" s="23">
        <v>145181421</v>
      </c>
      <c r="C73" s="23" t="s">
        <v>210</v>
      </c>
      <c r="D73" s="23">
        <v>854.62</v>
      </c>
      <c r="E73" s="25">
        <v>854.62</v>
      </c>
      <c r="F73" s="23" t="s">
        <v>17</v>
      </c>
      <c r="G73" t="s">
        <v>25</v>
      </c>
    </row>
    <row r="74" spans="1:7">
      <c r="A74" s="24">
        <v>46230</v>
      </c>
      <c r="B74" s="23">
        <v>145181441</v>
      </c>
      <c r="C74" s="23" t="s">
        <v>227</v>
      </c>
      <c r="D74" s="23">
        <v>71.010000000000005</v>
      </c>
      <c r="E74" s="25">
        <v>71.010000000000005</v>
      </c>
      <c r="F74" s="23" t="s">
        <v>17</v>
      </c>
      <c r="G74" t="s">
        <v>25</v>
      </c>
    </row>
    <row r="75" spans="1:7">
      <c r="A75" s="24">
        <v>46230</v>
      </c>
      <c r="B75" s="23">
        <v>165495930</v>
      </c>
      <c r="C75" s="23" t="s">
        <v>228</v>
      </c>
      <c r="D75" s="23">
        <v>712.36</v>
      </c>
      <c r="E75" s="25">
        <v>712.36</v>
      </c>
      <c r="F75" s="23" t="s">
        <v>17</v>
      </c>
      <c r="G75" t="s">
        <v>25</v>
      </c>
    </row>
    <row r="76" spans="1:7">
      <c r="A76" s="24">
        <v>46230</v>
      </c>
      <c r="B76" s="23">
        <v>165495931</v>
      </c>
      <c r="C76" s="23" t="s">
        <v>229</v>
      </c>
      <c r="D76" s="23">
        <v>260.52</v>
      </c>
      <c r="E76" s="25"/>
      <c r="F76" s="23" t="s">
        <v>12</v>
      </c>
    </row>
    <row r="77" spans="1:7">
      <c r="A77" s="24">
        <v>46230</v>
      </c>
      <c r="B77" s="23">
        <v>165495932</v>
      </c>
      <c r="C77" s="23" t="s">
        <v>230</v>
      </c>
      <c r="D77" s="23">
        <v>591.77</v>
      </c>
      <c r="E77" s="25">
        <v>591.77</v>
      </c>
      <c r="F77" s="23" t="s">
        <v>17</v>
      </c>
      <c r="G77" t="s">
        <v>25</v>
      </c>
    </row>
    <row r="78" spans="1:7">
      <c r="A78" s="24">
        <v>46230</v>
      </c>
      <c r="B78" s="23">
        <v>165495933</v>
      </c>
      <c r="C78" s="23" t="s">
        <v>230</v>
      </c>
      <c r="D78" s="23">
        <v>110.5</v>
      </c>
      <c r="E78" s="25">
        <v>110.5</v>
      </c>
      <c r="F78" s="23" t="s">
        <v>17</v>
      </c>
      <c r="G78" t="s">
        <v>25</v>
      </c>
    </row>
    <row r="79" spans="1:7">
      <c r="A79" s="24">
        <v>46230</v>
      </c>
      <c r="B79" s="23">
        <v>165495934</v>
      </c>
      <c r="C79" s="23" t="s">
        <v>211</v>
      </c>
      <c r="D79" s="23">
        <v>53.83</v>
      </c>
      <c r="E79" s="25">
        <v>53.83</v>
      </c>
      <c r="F79" s="23" t="s">
        <v>17</v>
      </c>
      <c r="G79" t="s">
        <v>25</v>
      </c>
    </row>
    <row r="80" spans="1:7">
      <c r="A80" s="24">
        <v>46231</v>
      </c>
      <c r="B80" s="23">
        <v>125270209</v>
      </c>
      <c r="C80" s="23" t="s">
        <v>221</v>
      </c>
      <c r="D80" s="23">
        <v>33.729999999999997</v>
      </c>
      <c r="E80" s="25">
        <v>33.729999999999997</v>
      </c>
      <c r="F80" s="23" t="s">
        <v>17</v>
      </c>
      <c r="G80" t="s">
        <v>25</v>
      </c>
    </row>
    <row r="81" spans="1:7">
      <c r="A81" s="24">
        <v>46231</v>
      </c>
      <c r="B81" s="23">
        <v>135091312</v>
      </c>
      <c r="C81" s="23" t="s">
        <v>231</v>
      </c>
      <c r="D81" s="23">
        <v>383.76</v>
      </c>
      <c r="E81" s="25">
        <v>383.76</v>
      </c>
      <c r="F81" s="23" t="s">
        <v>17</v>
      </c>
      <c r="G81" t="s">
        <v>25</v>
      </c>
    </row>
    <row r="82" spans="1:7">
      <c r="A82" s="24">
        <v>46231</v>
      </c>
      <c r="B82" s="23">
        <v>165496079</v>
      </c>
      <c r="C82" s="23" t="s">
        <v>229</v>
      </c>
      <c r="D82" s="23">
        <v>-260.52</v>
      </c>
      <c r="E82" s="25"/>
      <c r="F82" s="23" t="s">
        <v>12</v>
      </c>
    </row>
    <row r="83" spans="1:7">
      <c r="A83" s="24">
        <v>46232</v>
      </c>
      <c r="B83" s="23">
        <v>135091352</v>
      </c>
      <c r="C83" s="23" t="s">
        <v>231</v>
      </c>
      <c r="D83" s="23">
        <v>180.58</v>
      </c>
      <c r="E83" s="25">
        <v>180.58</v>
      </c>
      <c r="F83" s="23" t="s">
        <v>17</v>
      </c>
      <c r="G83" t="s">
        <v>25</v>
      </c>
    </row>
    <row r="84" spans="1:7">
      <c r="A84" s="24">
        <v>46232</v>
      </c>
      <c r="B84" s="23">
        <v>165496461</v>
      </c>
      <c r="C84" s="23" t="s">
        <v>219</v>
      </c>
      <c r="D84" s="23">
        <v>24.7</v>
      </c>
      <c r="E84" s="25">
        <v>24.7</v>
      </c>
      <c r="F84" s="23" t="s">
        <v>17</v>
      </c>
      <c r="G84" t="s">
        <v>25</v>
      </c>
    </row>
    <row r="85" spans="1:7">
      <c r="A85" s="24">
        <v>46233</v>
      </c>
      <c r="B85" s="23">
        <v>135091361</v>
      </c>
      <c r="C85" s="23" t="s">
        <v>231</v>
      </c>
      <c r="D85" s="23">
        <v>14.52</v>
      </c>
      <c r="E85" s="25">
        <v>14.52</v>
      </c>
      <c r="F85" s="23" t="s">
        <v>17</v>
      </c>
      <c r="G85" t="s">
        <v>25</v>
      </c>
    </row>
    <row r="86" spans="1:7">
      <c r="A86" s="24">
        <v>46234</v>
      </c>
      <c r="B86" s="23">
        <v>165496677</v>
      </c>
      <c r="C86" s="23" t="s">
        <v>219</v>
      </c>
      <c r="D86" s="23">
        <v>10.38</v>
      </c>
      <c r="E86" s="25">
        <v>10.38</v>
      </c>
      <c r="F86" s="23" t="s">
        <v>17</v>
      </c>
      <c r="G86" t="s">
        <v>25</v>
      </c>
    </row>
    <row r="87" spans="1:7">
      <c r="A87" s="24">
        <v>46234</v>
      </c>
      <c r="B87" s="23">
        <v>165496678</v>
      </c>
      <c r="C87" s="23" t="s">
        <v>219</v>
      </c>
      <c r="D87" s="23">
        <v>117.48</v>
      </c>
      <c r="E87" s="25">
        <v>117.48</v>
      </c>
      <c r="F87" s="23" t="s">
        <v>17</v>
      </c>
      <c r="G87" t="s">
        <v>25</v>
      </c>
    </row>
    <row r="88" spans="1:7">
      <c r="A88" s="24">
        <v>46234</v>
      </c>
      <c r="B88" s="23">
        <v>165496679</v>
      </c>
      <c r="C88" s="23" t="s">
        <v>206</v>
      </c>
      <c r="D88" s="23">
        <v>266.7</v>
      </c>
      <c r="E88" s="25">
        <v>266.7</v>
      </c>
      <c r="F88" s="23" t="s">
        <v>17</v>
      </c>
      <c r="G88" t="s">
        <v>25</v>
      </c>
    </row>
    <row r="89" spans="1:7">
      <c r="A89" s="24">
        <v>46234</v>
      </c>
      <c r="B89" s="23">
        <v>165496680</v>
      </c>
      <c r="C89" s="23" t="s">
        <v>228</v>
      </c>
      <c r="D89" s="23">
        <v>31.32</v>
      </c>
      <c r="E89" s="25">
        <v>31.32</v>
      </c>
      <c r="F89" s="23" t="s">
        <v>17</v>
      </c>
      <c r="G89" t="s">
        <v>25</v>
      </c>
    </row>
    <row r="90" spans="1:7">
      <c r="A90" s="24">
        <v>46234</v>
      </c>
      <c r="B90" s="23">
        <v>165496681</v>
      </c>
      <c r="C90" s="23" t="s">
        <v>223</v>
      </c>
      <c r="D90" s="23">
        <v>17.78</v>
      </c>
      <c r="E90" s="25">
        <v>17.78</v>
      </c>
      <c r="F90" s="23" t="s">
        <v>17</v>
      </c>
      <c r="G90" t="s">
        <v>25</v>
      </c>
    </row>
  </sheetData>
  <autoFilter ref="A1:G90" xr:uid="{00000000-0009-0000-0000-000004000000}"/>
  <conditionalFormatting sqref="F2:F90">
    <cfRule type="cellIs" dxfId="2" priority="1" operator="equal">
      <formula>"Match"</formula>
    </cfRule>
    <cfRule type="cellIs" dxfId="1" priority="2" operator="equal">
      <formula>"Amount Mismatch"</formula>
    </cfRule>
    <cfRule type="cellIs" dxfId="0" priority="3" operator="equal">
      <formula>"Invoice Not Present"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B14" sqref="B14"/>
    </sheetView>
  </sheetViews>
  <sheetFormatPr defaultRowHeight="14.5"/>
  <cols>
    <col min="1" max="1" width="21.6328125" bestFit="1" customWidth="1"/>
    <col min="2" max="2" width="56.54296875" bestFit="1" customWidth="1"/>
  </cols>
  <sheetData>
    <row r="1" spans="1:2" ht="16.5" customHeight="1">
      <c r="A1" s="28" t="s">
        <v>232</v>
      </c>
      <c r="B1" s="27"/>
    </row>
    <row r="3" spans="1:2">
      <c r="A3" s="13" t="s">
        <v>177</v>
      </c>
      <c r="B3" s="13" t="s">
        <v>178</v>
      </c>
    </row>
    <row r="4" spans="1:2">
      <c r="A4" s="14" t="s">
        <v>17</v>
      </c>
      <c r="B4" s="15">
        <f>COUNTIF(berlin_hew!$F$2:$F$90,$A4)</f>
        <v>74</v>
      </c>
    </row>
    <row r="5" spans="1:2">
      <c r="A5" s="21" t="s">
        <v>12</v>
      </c>
      <c r="B5" s="15">
        <f>COUNTIF(berlin_hew!$F$2:$F$90,$A5)</f>
        <v>15</v>
      </c>
    </row>
    <row r="6" spans="1:2">
      <c r="A6" s="16" t="s">
        <v>179</v>
      </c>
      <c r="B6" s="16">
        <f>SUM(B4:B5)</f>
        <v>89</v>
      </c>
    </row>
    <row r="8" spans="1:2">
      <c r="A8" s="17"/>
      <c r="B8" s="18"/>
    </row>
    <row r="9" spans="1:2">
      <c r="A9" s="19" t="s">
        <v>180</v>
      </c>
    </row>
    <row r="10" spans="1:2">
      <c r="A10" s="20" t="s">
        <v>181</v>
      </c>
      <c r="B10" t="s">
        <v>182</v>
      </c>
    </row>
    <row r="12" spans="1:2">
      <c r="A12" s="22" t="s">
        <v>233</v>
      </c>
      <c r="B12" s="18" t="s">
        <v>234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ksi_hew</vt:lpstr>
      <vt:lpstr>ksi_pivot</vt:lpstr>
      <vt:lpstr>nucar_quonset</vt:lpstr>
      <vt:lpstr>nucar_pivot</vt:lpstr>
      <vt:lpstr>berlin_hew</vt:lpstr>
      <vt:lpstr>berlin_pivot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Rao Yellur</cp:lastModifiedBy>
  <dcterms:created xsi:type="dcterms:W3CDTF">2026-08-24T13:06:45Z</dcterms:created>
  <dcterms:modified xsi:type="dcterms:W3CDTF">2026-08-25T05:31:46Z</dcterms:modified>
</cp:coreProperties>
</file>